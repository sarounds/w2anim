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filterPrivacy="1" codeName="ThisWorkbook" defaultThemeVersion="124226"/>
  <xr:revisionPtr revIDLastSave="0" documentId="13_ncr:1_{9F5E32EF-32A2-42BF-8CF2-E7AF9BF63EB4}" xr6:coauthVersionLast="47" xr6:coauthVersionMax="47" xr10:uidLastSave="{00000000-0000-0000-0000-000000000000}"/>
  <bookViews>
    <workbookView xWindow="9708" yWindow="1320" windowWidth="20508" windowHeight="13236"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USGS w2_selective.npt" sheetId="25" r:id="rId8"/>
    <sheet name="w2_selective.npt" sheetId="11" r:id="rId9"/>
    <sheet name="w2_constriction.csv" sheetId="12" r:id="rId10"/>
    <sheet name="w2_particle.csv" sheetId="13" r:id="rId11"/>
    <sheet name="w2_multiple_WB.npt" sheetId="14" r:id="rId12"/>
    <sheet name="w2_tecplotbr.csv" sheetId="17" r:id="rId13"/>
    <sheet name="w2_systdg.npt" sheetId="15" r:id="rId14"/>
    <sheet name="w2_TDGTarget.csv" sheetId="24" r:id="rId15"/>
    <sheet name="w2_lake_river_contour.csv" sheetId="18" r:id="rId16"/>
    <sheet name="w2_AlgaeMigration.csv" sheetId="19" r:id="rId17"/>
    <sheet name="w2_Algae_Toxin.csv" sheetId="20" r:id="rId18"/>
    <sheet name="sediment diagenesis numbers" sheetId="23" r:id="rId19"/>
    <sheet name="atm_deposition_wb1.csv" sheetId="7" r:id="rId20"/>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workbook>
</file>

<file path=xl/calcChain.xml><?xml version="1.0" encoding="utf-8"?>
<calcChain xmlns="http://schemas.openxmlformats.org/spreadsheetml/2006/main">
  <c r="Y493" i="4" l="1"/>
  <c r="Y492" i="4"/>
  <c r="Y476" i="4"/>
  <c r="Y90" i="22" l="1"/>
  <c r="T90" i="22"/>
  <c r="W88" i="22"/>
  <c r="B398" i="4"/>
  <c r="H65" i="6"/>
  <c r="G65" i="6"/>
  <c r="F65" i="6"/>
  <c r="E65" i="6"/>
  <c r="D65" i="6"/>
  <c r="C65" i="6"/>
  <c r="B65" i="6"/>
  <c r="B56" i="6"/>
  <c r="T80" i="16" l="1"/>
  <c r="T79" i="16"/>
  <c r="T78" i="16"/>
  <c r="T77" i="16"/>
  <c r="T76" i="16"/>
  <c r="T75" i="16"/>
  <c r="T74" i="16"/>
  <c r="T73" i="16"/>
  <c r="T72" i="16"/>
  <c r="T71" i="16"/>
  <c r="T69" i="16"/>
  <c r="T68" i="16"/>
  <c r="T67" i="16"/>
  <c r="T66" i="16"/>
  <c r="T65" i="16"/>
  <c r="T63" i="16"/>
  <c r="T62" i="16"/>
  <c r="T61" i="16"/>
  <c r="T60" i="16"/>
  <c r="T59" i="16"/>
  <c r="T58" i="16"/>
  <c r="T57" i="16"/>
  <c r="T55" i="16"/>
  <c r="T54" i="16"/>
  <c r="T53" i="16"/>
  <c r="T52" i="16"/>
  <c r="T51" i="16"/>
  <c r="T50" i="16"/>
  <c r="T49" i="16"/>
  <c r="A417" i="4"/>
  <c r="A38" i="4"/>
  <c r="A36" i="4" s="1"/>
  <c r="A816" i="4"/>
  <c r="A35" i="4" l="1"/>
  <c r="Y491" i="4"/>
  <c r="I7" i="7" l="1"/>
  <c r="A416" i="4" l="1"/>
  <c r="Y469" i="4" l="1"/>
  <c r="Y470" i="4"/>
  <c r="Y471" i="4"/>
  <c r="Y472" i="4"/>
  <c r="Y473" i="4"/>
  <c r="Y474" i="4"/>
  <c r="Y475" i="4"/>
  <c r="Y477" i="4"/>
  <c r="Y478" i="4"/>
  <c r="Y479" i="4"/>
  <c r="Y480" i="4"/>
  <c r="Y481" i="4"/>
  <c r="Y482" i="4"/>
  <c r="Y483" i="4"/>
  <c r="Y484" i="4"/>
  <c r="Y485" i="4"/>
  <c r="Y486" i="4"/>
  <c r="Y487" i="4"/>
  <c r="Y488" i="4"/>
  <c r="Y489" i="4"/>
  <c r="Y490" i="4"/>
  <c r="Y494" i="4"/>
  <c r="Y468" i="4"/>
  <c r="T291" i="4"/>
  <c r="T292" i="4"/>
  <c r="T293" i="4"/>
  <c r="T294" i="4"/>
  <c r="T295" i="4"/>
  <c r="T296" i="4"/>
  <c r="T297" i="4"/>
  <c r="T298" i="4"/>
  <c r="T299" i="4"/>
  <c r="T300" i="4"/>
  <c r="T301" i="4"/>
  <c r="T302" i="4"/>
  <c r="T303" i="4"/>
  <c r="T304" i="4"/>
  <c r="T290" i="4"/>
  <c r="B68" i="6" l="1"/>
  <c r="Q13" i="10" s="1"/>
</calcChain>
</file>

<file path=xl/sharedStrings.xml><?xml version="1.0" encoding="utf-8"?>
<sst xmlns="http://schemas.openxmlformats.org/spreadsheetml/2006/main" count="7364" uniqueCount="2870">
  <si>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</si>
  <si>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</si>
  <si>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</si>
  <si>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</si>
  <si>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</si>
  <si>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</si>
  <si>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</si>
  <si>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</si>
  <si>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</si>
  <si>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</si>
  <si>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</si>
  <si>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</si>
  <si>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</si>
  <si>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</si>
  <si>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</si>
  <si>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</si>
  <si>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</si>
  <si>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</si>
  <si>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</si>
  <si>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</si>
  <si>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</si>
  <si>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</si>
  <si>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</si>
  <si>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</si>
  <si>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</si>
  <si>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</si>
  <si>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</si>
  <si>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</si>
  <si>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</si>
  <si>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</si>
  <si>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</si>
  <si>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</si>
  <si>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</si>
  <si>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</si>
  <si>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</si>
  <si>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</si>
  <si>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</si>
  <si>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</si>
  <si>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</si>
  <si>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</si>
  <si>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</si>
  <si>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</si>
  <si>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</si>
  <si>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</si>
  <si>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</si>
  <si>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</si>
  <si>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</si>
  <si>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</si>
  <si>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</si>
  <si>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</si>
  <si>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</si>
  <si>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</si>
  <si>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</si>
  <si>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</si>
  <si>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</si>
  <si>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</si>
  <si>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</si>
  <si>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</si>
  <si>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</si>
  <si>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</si>
  <si>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</si>
  <si>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</si>
  <si>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</si>
  <si>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</si>
  <si>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</si>
  <si>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</si>
  <si>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</si>
  <si>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</si>
  <si>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</si>
  <si>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</si>
  <si>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</si>
  <si>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</si>
  <si>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</si>
  <si>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</si>
  <si>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</si>
  <si>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</si>
  <si>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</si>
  <si>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</si>
  <si>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</si>
  <si>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</si>
  <si>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</si>
  <si>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</si>
  <si>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</si>
  <si>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</si>
  <si>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</si>
  <si>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</si>
  <si>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</si>
  <si>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</si>
  <si>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</si>
  <si>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</si>
  <si>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</si>
  <si>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</si>
  <si>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</si>
  <si>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</si>
  <si>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</si>
  <si>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</si>
  <si>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</si>
  <si>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</si>
  <si>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</si>
  <si>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</si>
  <si>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</si>
  <si>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</si>
  <si>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</si>
  <si>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</si>
  <si>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</si>
  <si>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</si>
  <si>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</si>
  <si>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</si>
  <si>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</si>
  <si>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</si>
  <si>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</si>
  <si>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</si>
  <si>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</si>
  <si>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</si>
  <si>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</si>
  <si>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</si>
  <si>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</si>
  <si>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</si>
  <si>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</si>
  <si>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</si>
  <si>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</si>
  <si>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</si>
  <si>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</si>
  <si>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</si>
  <si>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</si>
  <si>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</si>
  <si>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</si>
  <si>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</si>
  <si>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</si>
  <si>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</si>
  <si>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</si>
  <si>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</si>
  <si>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</si>
  <si>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</si>
  <si>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</si>
  <si>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</si>
  <si>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</si>
  <si>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</si>
  <si>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</si>
  <si>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</si>
  <si>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</si>
  <si>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</si>
  <si>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</si>
  <si>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</si>
  <si>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</si>
  <si>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</si>
  <si>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</si>
  <si>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</si>
  <si>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</si>
  <si>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</si>
  <si>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</si>
  <si>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</si>
  <si>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</si>
  <si>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</si>
  <si>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</si>
  <si>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</si>
  <si>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</si>
  <si>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</si>
  <si>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</si>
  <si>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</si>
  <si>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</si>
  <si>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</si>
  <si>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</si>
  <si>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</si>
  <si>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</si>
  <si>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</si>
  <si>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</si>
  <si>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</si>
  <si>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</si>
  <si>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</si>
  <si>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</si>
  <si>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</si>
  <si>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</si>
  <si>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</si>
  <si>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</si>
  <si>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</si>
  <si>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</si>
  <si>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</si>
  <si>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</si>
  <si>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</si>
  <si>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</si>
  <si>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</si>
  <si>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</si>
  <si>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</si>
  <si>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</si>
  <si>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</si>
  <si>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</si>
  <si>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</si>
  <si>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</si>
  <si>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</si>
  <si>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</si>
  <si>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</si>
  <si>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</si>
  <si>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</si>
  <si>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</si>
  <si>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</si>
  <si>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</si>
  <si>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</si>
  <si>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</si>
  <si>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</si>
  <si>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</si>
  <si>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</si>
  <si>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</si>
  <si>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</si>
  <si>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</si>
  <si>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</si>
  <si>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</si>
  <si>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</si>
  <si>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</si>
  <si>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</si>
  <si>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</si>
  <si>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</si>
  <si>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</si>
  <si>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</si>
  <si>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</si>
  <si>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</si>
  <si>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</si>
  <si>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</si>
  <si>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</si>
  <si>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</si>
  <si>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</si>
  <si>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</si>
  <si>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</si>
  <si>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</si>
  <si>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</si>
  <si>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</si>
  <si>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</si>
  <si>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</si>
  <si>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</si>
  <si>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</si>
  <si>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</si>
  <si>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</si>
  <si>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</si>
  <si>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</si>
  <si>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</si>
  <si>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</si>
  <si>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</si>
  <si>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</si>
  <si>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</si>
  <si>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</si>
  <si>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</si>
  <si>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</si>
  <si>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</si>
  <si>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</si>
  <si>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</si>
  <si>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</si>
  <si>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</si>
  <si>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</si>
  <si>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</si>
  <si>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</si>
  <si>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</si>
  <si>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</si>
  <si>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</si>
  <si>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</si>
  <si>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</si>
  <si>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</si>
  <si>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</si>
  <si>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</si>
  <si>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</si>
  <si>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</si>
  <si>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</si>
  <si>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</si>
  <si>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</si>
  <si>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</si>
  <si>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</si>
  <si>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</si>
  <si>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</si>
  <si>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</si>
  <si>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</si>
  <si>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</si>
  <si>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</si>
  <si>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</si>
  <si>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</si>
  <si>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</si>
  <si>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</si>
  <si>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</si>
  <si>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</si>
  <si>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</si>
  <si>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</si>
  <si>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</si>
  <si>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</si>
  <si>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</si>
  <si>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</si>
  <si>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</si>
  <si>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</si>
  <si>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</si>
  <si>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</si>
  <si>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</si>
  <si>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</si>
  <si>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</si>
  <si>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</si>
  <si>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</si>
  <si>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</si>
  <si>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</si>
  <si>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</si>
  <si>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</si>
  <si>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</si>
  <si>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</si>
  <si>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</si>
  <si>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</si>
  <si>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</si>
  <si>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</si>
  <si>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</si>
  <si>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</si>
  <si>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</si>
  <si>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</si>
  <si>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</si>
  <si>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</si>
  <si>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</si>
  <si>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</si>
  <si>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</si>
  <si>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</si>
  <si>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</si>
  <si>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</si>
  <si>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</si>
  <si>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</si>
  <si>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</si>
  <si>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</si>
  <si>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</si>
  <si>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</si>
  <si>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</si>
  <si>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</si>
  <si>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</si>
  <si>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</si>
  <si>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</si>
  <si>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</si>
  <si>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</si>
  <si>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</si>
  <si>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</si>
  <si>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</si>
  <si>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</si>
  <si>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</si>
  <si>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</si>
  <si>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</si>
  <si>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</si>
  <si>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</si>
  <si>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</si>
  <si>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</si>
  <si>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</si>
  <si>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</si>
  <si>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</si>
  <si>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</si>
  <si>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</si>
  <si>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</si>
  <si>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</si>
  <si>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</si>
  <si>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</si>
  <si>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</si>
  <si>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</si>
  <si>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</si>
  <si>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</si>
  <si>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</si>
  <si>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</si>
  <si>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</si>
  <si>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</si>
  <si>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</si>
  <si>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</si>
  <si>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</si>
  <si>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</si>
  <si>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</si>
  <si>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</si>
  <si>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</si>
  <si>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</si>
  <si>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</si>
  <si>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</si>
  <si>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</si>
  <si>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</si>
  <si>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</si>
  <si>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</si>
  <si>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</si>
  <si>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</si>
  <si>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</si>
  <si>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</si>
  <si>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</si>
  <si>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</si>
  <si>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</si>
  <si>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</si>
  <si>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</si>
  <si>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</si>
  <si>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</si>
  <si>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</si>
  <si>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</si>
  <si>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</si>
  <si>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</si>
  <si>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</si>
  <si>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</si>
  <si>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</si>
  <si>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</si>
  <si>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</si>
  <si>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</si>
  <si>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</si>
  <si>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</si>
  <si>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</si>
  <si>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</si>
  <si>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</si>
  <si>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</si>
  <si>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</si>
  <si>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</si>
  <si>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</si>
  <si>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</si>
  <si>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</si>
  <si>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</si>
  <si>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</si>
  <si>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</si>
  <si>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</si>
  <si>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</si>
  <si>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</si>
  <si>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</si>
  <si>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</si>
  <si>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</si>
  <si>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</si>
  <si>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</si>
  <si>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</si>
  <si>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</si>
  <si>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</si>
  <si>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</si>
  <si>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</si>
  <si>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</si>
  <si>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</si>
  <si>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</si>
  <si>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</si>
  <si>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</si>
  <si>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</si>
  <si>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</si>
  <si>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</si>
  <si>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</si>
  <si>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</si>
  <si>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</si>
  <si>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</si>
  <si>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</si>
  <si>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</si>
  <si>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</si>
  <si>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</si>
  <si>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</si>
  <si>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</si>
  <si>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</si>
  <si>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</si>
  <si>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</si>
  <si>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</si>
  <si>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</si>
  <si>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</si>
  <si>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</si>
  <si>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</si>
  <si>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</si>
  <si>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</si>
  <si>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</si>
  <si>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</si>
  <si>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</si>
  <si>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</si>
  <si>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</si>
  <si>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</si>
  <si>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</si>
  <si>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</si>
  <si>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</si>
  <si>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</si>
  <si>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</si>
  <si>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</si>
  <si>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</si>
  <si>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</si>
  <si>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</si>
  <si>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</si>
  <si>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</si>
  <si>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</si>
  <si>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</si>
  <si>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</si>
  <si>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</si>
  <si>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</si>
  <si>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</si>
  <si>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</si>
  <si>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</si>
  <si>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</si>
  <si>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</si>
  <si>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</si>
  <si>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</si>
  <si>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</si>
  <si>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</si>
  <si>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</si>
  <si>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</si>
  <si>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</si>
  <si>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</si>
  <si>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</si>
  <si>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</si>
  <si>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</si>
  <si>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</si>
  <si>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</si>
  <si>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</si>
  <si>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</si>
  <si>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</si>
  <si>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</si>
  <si>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</si>
  <si>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</si>
  <si>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</si>
  <si>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</si>
  <si>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</si>
  <si>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</si>
  <si>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</si>
  <si>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</si>
  <si>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</si>
  <si>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</si>
  <si>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</si>
  <si>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</si>
  <si>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</si>
  <si>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</si>
  <si>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</si>
  <si>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</si>
  <si>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</si>
  <si>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</si>
  <si>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</si>
  <si>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</si>
  <si>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</si>
  <si>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</si>
  <si>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</si>
  <si>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</si>
  <si>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</si>
  <si>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</si>
  <si>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</si>
  <si>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</si>
  <si>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</si>
  <si>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</si>
  <si>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</si>
  <si>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</si>
  <si>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</si>
  <si>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</si>
  <si>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</si>
  <si>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</si>
  <si>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</si>
  <si>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</si>
  <si>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</si>
  <si>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</si>
  <si>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</si>
  <si>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</si>
  <si>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</si>
  <si>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</si>
  <si>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</si>
  <si>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</si>
  <si>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</si>
  <si>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</si>
  <si>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</si>
  <si>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</si>
  <si>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</si>
  <si>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</si>
  <si>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</si>
  <si>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</si>
  <si>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</si>
  <si>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</si>
  <si>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</si>
  <si>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</si>
  <si>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</si>
  <si>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</si>
  <si>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</si>
  <si>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</si>
  <si>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</si>
  <si>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</si>
  <si>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</si>
  <si>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</si>
  <si>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</si>
  <si>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</si>
  <si>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</si>
  <si>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</si>
  <si>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</si>
  <si>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</si>
  <si>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</si>
  <si>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</si>
  <si>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</si>
  <si>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</si>
  <si>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</si>
  <si>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</si>
  <si>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</si>
  <si>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</si>
  <si>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</si>
  <si>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</si>
  <si>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</si>
  <si>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</si>
  <si>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</si>
  <si>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</si>
  <si>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</si>
  <si>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</si>
  <si>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</si>
  <si>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</si>
  <si>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</si>
  <si>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</si>
  <si>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</si>
  <si>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</si>
  <si>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</si>
  <si>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</si>
  <si>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</si>
  <si>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</si>
  <si>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</si>
  <si>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</si>
  <si>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</si>
  <si>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</si>
  <si>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</si>
  <si>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</si>
  <si>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</si>
  <si>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</si>
  <si>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</si>
  <si>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</si>
  <si>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</si>
  <si>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</si>
  <si>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</si>
  <si>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</si>
  <si>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</si>
  <si>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</si>
  <si>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</si>
  <si>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</si>
  <si>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</si>
  <si>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</si>
  <si>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</si>
  <si>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</si>
  <si>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</si>
  <si>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</si>
  <si>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</si>
  <si>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</si>
  <si>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</si>
  <si>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</si>
  <si>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</si>
  <si>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</si>
  <si>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</si>
  <si>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</si>
  <si>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</si>
  <si>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</si>
  <si>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</si>
  <si>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</si>
  <si>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</si>
  <si>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</si>
  <si>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</si>
  <si>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</si>
  <si>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</si>
  <si>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</si>
  <si>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</si>
  <si>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</si>
  <si>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</si>
  <si>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</si>
  <si>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</si>
  <si>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</si>
  <si>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</si>
  <si>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</si>
  <si>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</si>
  <si>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</si>
  <si>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</si>
  <si>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</si>
  <si>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</si>
  <si>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</si>
  <si>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</si>
  <si>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</si>
  <si>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</si>
  <si>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</si>
  <si>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</si>
  <si>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</si>
  <si>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</si>
  <si>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</si>
  <si>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</si>
  <si>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</si>
  <si>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</si>
  <si>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</si>
  <si>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</si>
  <si>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</si>
  <si>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</si>
  <si>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</si>
  <si>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</si>
  <si>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</si>
  <si>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</si>
  <si>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</si>
  <si>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</si>
  <si>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</si>
  <si>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</si>
  <si>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</si>
  <si>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</si>
  <si>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</si>
  <si>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</si>
  <si>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</si>
  <si>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</si>
  <si>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</si>
  <si>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</si>
  <si>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</si>
  <si>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</si>
  <si>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</si>
  <si>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</si>
  <si>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</si>
  <si>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</si>
  <si>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</si>
  <si>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</si>
  <si>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</si>
  <si>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</si>
  <si>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</si>
  <si>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</si>
  <si>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</si>
  <si>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</si>
  <si>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</si>
  <si>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</si>
  <si>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</si>
  <si>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</si>
  <si>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</si>
  <si>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</si>
  <si>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</si>
  <si>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</si>
  <si>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</si>
  <si>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</si>
  <si>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</si>
  <si>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</si>
  <si>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</si>
  <si>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</si>
  <si>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</si>
  <si>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</si>
  <si>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</si>
  <si>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</si>
  <si>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</si>
  <si>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</si>
  <si>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</si>
  <si>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</si>
  <si>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</si>
  <si>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</si>
  <si>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</si>
  <si>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</si>
  <si>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</si>
  <si>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</si>
  <si>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</si>
  <si>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</si>
  <si>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</si>
  <si>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</si>
  <si>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</si>
  <si>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</si>
  <si>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</si>
  <si>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</si>
  <si>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</si>
  <si>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</si>
  <si>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</si>
  <si>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</si>
  <si>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</si>
  <si>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</si>
  <si>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</si>
  <si>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</si>
  <si>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</si>
  <si>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</si>
  <si>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</si>
  <si>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</si>
  <si>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</si>
  <si>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</si>
  <si>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</si>
  <si>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</si>
  <si>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</si>
  <si>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</si>
  <si>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</si>
  <si>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</si>
  <si>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</si>
  <si>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</si>
  <si>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</si>
  <si>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</si>
  <si>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</si>
  <si>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</si>
  <si>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</si>
  <si>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</si>
  <si>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</si>
  <si>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</si>
  <si>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</si>
  <si>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</si>
  <si>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</si>
  <si>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</si>
  <si>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</si>
  <si>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</si>
  <si>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</si>
  <si>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</si>
  <si>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</si>
  <si>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</si>
  <si>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</si>
  <si>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</si>
  <si>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</si>
  <si>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</si>
  <si>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</si>
  <si>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</si>
  <si>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</si>
  <si>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</si>
  <si>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</si>
  <si>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</si>
  <si>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</si>
  <si>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</si>
  <si>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</si>
  <si>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</si>
  <si>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</si>
  <si>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</si>
  <si>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</si>
  <si>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</si>
  <si>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</si>
  <si>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</si>
  <si>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</si>
  <si>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</si>
  <si>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</si>
  <si>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</si>
  <si>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</si>
  <si>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</si>
  <si>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</si>
  <si>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</si>
  <si>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</si>
  <si>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</si>
  <si>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</si>
  <si>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</si>
  <si>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</si>
  <si>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</si>
  <si>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</si>
  <si>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</si>
  <si>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</si>
  <si>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</si>
  <si>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</si>
  <si>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</si>
  <si>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</si>
  <si>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</si>
  <si>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</si>
  <si>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</si>
  <si>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</si>
  <si>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</si>
  <si>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</si>
  <si>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</si>
  <si>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</si>
  <si>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</si>
  <si>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</si>
  <si>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</si>
  <si>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</si>
  <si>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</si>
  <si>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</si>
  <si>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</si>
  <si>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</si>
  <si>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</si>
  <si>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</si>
  <si>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</si>
  <si>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</si>
  <si>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</si>
  <si>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</si>
  <si>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</si>
  <si>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</si>
  <si>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</si>
  <si>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</si>
  <si>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</si>
  <si>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</si>
  <si>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</si>
  <si>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</si>
  <si>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</si>
  <si>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</si>
  <si>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</si>
  <si>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</si>
  <si>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</si>
  <si>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</si>
  <si>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</si>
  <si>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</si>
  <si>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</si>
  <si>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</si>
  <si>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</si>
  <si>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</si>
  <si>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</si>
  <si>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</si>
  <si>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</si>
  <si>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</si>
  <si>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</si>
  <si>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</si>
  <si>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</si>
  <si>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</si>
  <si>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</si>
  <si>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</si>
  <si>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</si>
  <si>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</si>
  <si>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</si>
  <si>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</si>
  <si>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</si>
  <si>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</si>
  <si>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</si>
  <si>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</si>
  <si>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</si>
  <si>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</si>
  <si>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</si>
  <si>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</si>
  <si>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</si>
  <si>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</si>
  <si>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</si>
  <si>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</si>
  <si>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</si>
  <si>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</si>
  <si>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</si>
  <si>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</si>
  <si>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</si>
  <si>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</si>
  <si>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</si>
  <si>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</si>
  <si>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</si>
  <si>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</si>
  <si>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</si>
  <si>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</si>
  <si>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</si>
  <si>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</si>
  <si>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</si>
  <si>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</si>
  <si>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</si>
  <si>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</si>
  <si>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</si>
  <si>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</si>
  <si>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</si>
  <si>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</si>
  <si>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</si>
  <si>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</si>
  <si>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</si>
  <si>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</si>
  <si>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</si>
  <si>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</si>
  <si>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</si>
  <si>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</si>
  <si>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</si>
  <si>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</si>
  <si>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</si>
  <si>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</si>
  <si>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</si>
  <si>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</si>
  <si>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</si>
  <si>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</si>
  <si>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</si>
  <si>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</si>
  <si>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</si>
  <si>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</si>
  <si>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</si>
  <si>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</si>
  <si>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</si>
  <si>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</si>
  <si>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</si>
  <si>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</si>
  <si>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</si>
  <si>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</si>
  <si>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</si>
  <si>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</si>
  <si>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</si>
  <si>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</si>
  <si>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</si>
  <si>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</si>
  <si>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</si>
  <si>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</si>
  <si>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</si>
  <si>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</si>
  <si>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</si>
  <si>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</si>
  <si>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</si>
  <si>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</si>
  <si>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</si>
  <si>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</si>
  <si>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</si>
  <si>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</si>
  <si>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</si>
  <si>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</si>
  <si>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</si>
  <si>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</si>
  <si>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</si>
  <si>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</si>
  <si>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</si>
  <si>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</si>
  <si>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</si>
  <si>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</si>
  <si>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</si>
  <si>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</si>
  <si>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</si>
  <si>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</si>
  <si>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</si>
  <si>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</si>
  <si>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</si>
  <si>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</si>
  <si>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</si>
  <si>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</si>
  <si>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</si>
  <si>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</si>
  <si>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</si>
  <si>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</si>
  <si>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</si>
  <si>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</si>
  <si>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</si>
  <si>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</si>
  <si>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</si>
  <si>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</si>
  <si>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</si>
  <si>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</si>
  <si>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</si>
  <si>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</si>
  <si>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</si>
  <si>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</si>
  <si>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</si>
  <si>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</si>
  <si>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</si>
  <si>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</si>
  <si>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</si>
  <si>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</si>
  <si>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</si>
  <si>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</si>
  <si>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</si>
  <si>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</si>
  <si>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</si>
  <si>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</si>
  <si>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</si>
  <si>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</si>
  <si>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</si>
  <si>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</si>
  <si>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</si>
  <si>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</si>
  <si>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</si>
  <si>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</si>
  <si>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</si>
  <si>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</si>
  <si>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</si>
  <si>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</si>
  <si>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</si>
  <si>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</si>
  <si>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</si>
  <si>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</si>
  <si>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</si>
  <si>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</si>
  <si>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</si>
  <si>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</si>
  <si>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</si>
  <si>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</si>
  <si>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</si>
  <si>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</si>
  <si>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</si>
  <si>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</si>
  <si>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</si>
  <si>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</si>
  <si>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</si>
  <si>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</si>
  <si>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</si>
  <si>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</si>
  <si>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</si>
  <si>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</si>
  <si>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</si>
  <si>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</si>
  <si>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</si>
  <si>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</si>
  <si>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</si>
  <si>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</si>
  <si>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</si>
  <si>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</si>
  <si>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</si>
  <si>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</si>
  <si>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</si>
  <si>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</si>
  <si>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</si>
  <si>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</si>
  <si>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</si>
  <si>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</si>
  <si>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</si>
  <si>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</si>
  <si>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</si>
  <si>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</si>
  <si>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</si>
  <si>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</si>
  <si>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</si>
  <si>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</si>
  <si>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</si>
  <si>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</si>
  <si>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</si>
  <si>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</si>
  <si>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</si>
  <si>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</si>
  <si>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</si>
  <si>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</si>
  <si>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</si>
  <si>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</si>
  <si>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</si>
  <si>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</si>
  <si>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</si>
  <si>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</si>
  <si>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</si>
  <si>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</si>
  <si>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</si>
  <si>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</si>
  <si>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</si>
  <si>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</si>
  <si>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</si>
  <si>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</si>
  <si>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</si>
  <si>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</si>
  <si>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</si>
  <si>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</si>
  <si>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</si>
  <si>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</si>
  <si>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</si>
  <si>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</si>
  <si>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</si>
  <si>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</si>
  <si>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</si>
  <si>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</si>
  <si>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</si>
  <si>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</si>
  <si>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</si>
  <si>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</si>
  <si>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</si>
  <si>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</si>
  <si>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</si>
  <si>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IMP     </t>
  </si>
  <si>
    <t>GTE3</t>
  </si>
  <si>
    <t>IW4</t>
  </si>
  <si>
    <t>IW5</t>
  </si>
  <si>
    <t>IW6</t>
  </si>
  <si>
    <t>IW7</t>
  </si>
  <si>
    <t>IW8</t>
  </si>
  <si>
    <t>IW9</t>
  </si>
  <si>
    <t>IW10</t>
  </si>
  <si>
    <t>HPRWBC1</t>
  </si>
  <si>
    <t xml:space="preserve">Timestep violations [NVIOL]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</si>
  <si>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</si>
  <si>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</si>
  <si>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</si>
  <si>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</si>
  <si>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</si>
  <si>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</si>
  <si>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</si>
  <si>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</si>
  <si>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</si>
  <si>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</si>
  <si>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</si>
  <si>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</si>
  <si>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</si>
  <si>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</si>
  <si>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</si>
  <si>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</si>
  <si>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</si>
  <si>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</si>
  <si>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</si>
  <si>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</si>
  <si>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</si>
  <si>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</si>
  <si>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</si>
  <si>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</si>
  <si>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</si>
  <si>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</si>
  <si>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</si>
  <si>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</si>
  <si>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</si>
  <si>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</si>
  <si>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</si>
  <si>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</si>
  <si>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</si>
  <si>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</si>
  <si>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</si>
  <si>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</si>
  <si>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</si>
  <si>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</si>
  <si>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</si>
  <si>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</si>
  <si>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</si>
  <si>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</si>
  <si>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</si>
  <si>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</si>
  <si>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</si>
  <si>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</si>
  <si>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</si>
  <si>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</si>
  <si>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</si>
  <si>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</si>
  <si>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</si>
  <si>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</si>
  <si>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</si>
  <si>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</si>
  <si>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</si>
  <si>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</si>
  <si>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</si>
  <si>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</si>
  <si>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</si>
  <si>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</si>
  <si>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</si>
  <si>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</si>
  <si>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</si>
  <si>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</si>
  <si>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</si>
  <si>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</si>
  <si>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</si>
  <si>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</si>
  <si>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</si>
  <si>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</si>
  <si>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</si>
  <si>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</si>
  <si>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</si>
  <si>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</si>
  <si>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</si>
  <si>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</si>
  <si>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</si>
  <si>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</si>
  <si>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</si>
  <si>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</si>
  <si>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</si>
  <si>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</si>
  <si>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</si>
  <si>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</si>
  <si>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</si>
  <si>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</si>
  <si>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</si>
  <si>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</si>
  <si>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</si>
  <si>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</si>
  <si>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</si>
  <si>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</si>
  <si>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</si>
  <si>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EP1</t>
  </si>
  <si>
    <t>EP7</t>
  </si>
  <si>
    <t>EP8</t>
  </si>
  <si>
    <t>MacGroup6</t>
  </si>
  <si>
    <t>MacGroup7</t>
  </si>
  <si>
    <t>MacGroup8</t>
  </si>
  <si>
    <t>O2LIMIT</t>
  </si>
  <si>
    <t>FILE NAMES</t>
  </si>
  <si>
    <t>CTRTRC1 Tributary constituent for Trib 1</t>
  </si>
  <si>
    <t xml:space="preserve"> CDTBRC1 Distributed constituent for Branch 1</t>
  </si>
  <si>
    <t>"Timestep violations [NVIOL]                "</t>
  </si>
  <si>
    <t>""</t>
  </si>
  <si>
    <t>ULTIMATE</t>
  </si>
  <si>
    <t>Horizontal velocity [U]</t>
  </si>
  <si>
    <t xml:space="preserve"> m/s               </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</si>
  <si>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</si>
  <si>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</si>
  <si>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</si>
  <si>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</si>
  <si>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</si>
  <si>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</si>
  <si>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</si>
  <si>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</si>
  <si>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</si>
  <si>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</si>
  <si>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</si>
  <si>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</si>
  <si>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</si>
  <si>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</si>
  <si>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</si>
  <si>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</si>
  <si>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</si>
  <si>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</si>
  <si>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</si>
  <si>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</si>
  <si>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</si>
  <si>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</si>
  <si>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</si>
  <si>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</si>
  <si>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</si>
  <si>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</si>
  <si>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</si>
  <si>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</si>
  <si>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</si>
  <si>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</si>
  <si>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</si>
  <si>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</si>
  <si>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</si>
  <si>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</si>
  <si>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</si>
  <si>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</si>
  <si>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</si>
  <si>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</si>
  <si>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</si>
  <si>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</si>
  <si>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</si>
  <si>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</si>
  <si>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</si>
  <si>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</si>
  <si>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</si>
  <si>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</si>
  <si>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</si>
  <si>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</si>
  <si>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</si>
  <si>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</si>
  <si>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</si>
  <si>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</si>
  <si>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</si>
  <si>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</si>
  <si>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</si>
  <si>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</si>
  <si>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</si>
  <si>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</si>
  <si>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</si>
  <si>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</si>
  <si>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</si>
  <si>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</si>
  <si>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</si>
  <si>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</si>
  <si>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</si>
  <si>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</si>
  <si>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</si>
  <si>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</si>
  <si>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</si>
  <si>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</si>
  <si>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</si>
  <si>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</si>
  <si>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</si>
  <si>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</si>
  <si>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</si>
  <si>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</si>
  <si>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</si>
  <si>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</si>
  <si>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</si>
  <si>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</si>
  <si>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</si>
  <si>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</si>
  <si>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</si>
  <si>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</si>
  <si>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</si>
  <si>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</si>
  <si>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</si>
  <si>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</si>
  <si>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</si>
  <si>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</si>
  <si>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</si>
  <si>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</si>
  <si>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</si>
  <si>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</si>
  <si>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</si>
  <si>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</si>
  <si>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</si>
  <si>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</si>
  <si>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</si>
  <si>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</si>
  <si>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</si>
  <si>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</si>
  <si>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</si>
  <si>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</si>
  <si>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</si>
  <si>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</si>
  <si>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</si>
  <si>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</si>
  <si>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</si>
  <si>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</si>
  <si>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</si>
  <si>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</si>
  <si>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</si>
  <si>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</si>
  <si>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</si>
  <si>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</si>
  <si>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</si>
  <si>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</si>
  <si>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</si>
  <si>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</si>
  <si>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</si>
  <si>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</si>
  <si>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</si>
  <si>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</si>
  <si>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</si>
  <si>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</si>
  <si>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</si>
  <si>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</si>
  <si>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</si>
  <si>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</si>
  <si>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</si>
  <si>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</si>
  <si>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</si>
  <si>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</si>
  <si>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</si>
  <si>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</si>
  <si>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</si>
  <si>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</si>
  <si>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</si>
  <si>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</si>
  <si>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</si>
  <si>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</si>
  <si>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</si>
  <si>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</si>
  <si>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</si>
  <si>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</si>
  <si>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</si>
  <si>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</si>
  <si>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</si>
  <si>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</si>
  <si>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</si>
  <si>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</si>
  <si>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</si>
  <si>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</si>
  <si>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</si>
  <si>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</si>
  <si>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</si>
  <si>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</si>
  <si>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</si>
  <si>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</si>
  <si>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</si>
  <si>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</si>
  <si>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</si>
  <si>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</si>
  <si>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</si>
  <si>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</si>
  <si>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</si>
  <si>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</si>
  <si>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</si>
  <si>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</si>
  <si>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</si>
  <si>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</si>
  <si>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</si>
  <si>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</si>
  <si>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</si>
  <si>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</si>
  <si>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</si>
  <si>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</si>
  <si>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</si>
  <si>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</si>
  <si>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</si>
  <si>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</si>
  <si>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</si>
  <si>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</si>
  <si>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</si>
  <si>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</si>
  <si>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</si>
  <si>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</si>
  <si>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</si>
  <si>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</si>
  <si>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</si>
  <si>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</si>
  <si>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</si>
  <si>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</si>
  <si>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</si>
  <si>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</si>
  <si>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</si>
  <si>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</si>
  <si>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</si>
  <si>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</si>
  <si>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</si>
  <si>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</si>
  <si>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</si>
  <si>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</si>
  <si>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</si>
  <si>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</si>
  <si>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</si>
  <si>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</si>
  <si>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</si>
  <si>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</si>
  <si>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</si>
  <si>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</si>
  <si>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</si>
  <si>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</si>
  <si>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</si>
  <si>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</si>
  <si>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</si>
  <si>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</si>
  <si>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</si>
  <si>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</si>
  <si>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</si>
  <si>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</si>
  <si>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</si>
  <si>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</si>
  <si>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</si>
  <si>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</si>
  <si>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</si>
  <si>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</si>
  <si>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</si>
  <si>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</si>
  <si>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</si>
  <si>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</si>
  <si>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</si>
  <si>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</si>
  <si>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</si>
  <si>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</si>
  <si>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</si>
  <si>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</si>
  <si>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</si>
  <si>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</si>
  <si>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</si>
  <si>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</si>
  <si>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</si>
  <si>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</si>
  <si>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</si>
  <si>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</si>
  <si>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</si>
  <si>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</si>
  <si>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</si>
  <si>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</si>
  <si>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</si>
  <si>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</si>
  <si>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</si>
  <si>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</si>
  <si>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</si>
  <si>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</si>
  <si>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</si>
  <si>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</si>
  <si>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BUFFER TIME to run program, days [wait until at least XX days available to start downstream simulation]</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</si>
  <si>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</si>
  <si>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</si>
  <si>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</si>
  <si>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</si>
  <si>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</si>
  <si>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</si>
  <si>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</si>
  <si>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</si>
  <si>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</si>
  <si>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</si>
  <si>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</si>
  <si>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</si>
  <si>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</si>
  <si>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</si>
  <si>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</si>
  <si>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</si>
  <si>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</si>
  <si>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</si>
  <si>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</si>
  <si>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</si>
  <si>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</si>
  <si>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</si>
  <si>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</si>
  <si>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</si>
  <si>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</si>
  <si>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</si>
  <si>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</si>
  <si>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</si>
  <si>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</si>
  <si>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</si>
  <si>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</si>
  <si>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</si>
  <si>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</si>
  <si>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</si>
  <si>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</si>
  <si>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</si>
  <si>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</si>
  <si>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</si>
  <si>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</si>
  <si>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</si>
  <si>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</si>
  <si>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</si>
  <si>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</si>
  <si>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</si>
  <si>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</si>
  <si>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</si>
  <si>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</si>
  <si>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</si>
  <si>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</si>
  <si>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</si>
  <si>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</si>
  <si>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</si>
  <si>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</si>
  <si>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</si>
  <si>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</si>
  <si>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</si>
  <si>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</si>
  <si>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</si>
  <si>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</si>
  <si>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</si>
  <si>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</si>
  <si>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</si>
  <si>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</si>
  <si>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</si>
  <si>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</si>
  <si>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</si>
  <si>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</si>
  <si>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</si>
  <si>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</si>
  <si>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</si>
  <si>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</si>
  <si>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</si>
  <si>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</si>
  <si>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</si>
  <si>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</si>
  <si>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</si>
  <si>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</si>
  <si>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</si>
  <si>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</si>
  <si>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</si>
  <si>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</si>
  <si>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</si>
  <si>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</si>
  <si>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</si>
  <si>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</si>
  <si>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</si>
  <si>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</si>
  <si>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</si>
  <si>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</si>
  <si>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</si>
  <si>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</si>
  <si>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</si>
  <si>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</si>
  <si>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</si>
  <si>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</si>
  <si>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</si>
  <si>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</si>
  <si>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</si>
  <si>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</si>
  <si>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</si>
  <si>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</si>
  <si>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</si>
  <si>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</si>
  <si>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</si>
  <si>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</si>
  <si>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</si>
  <si>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</si>
  <si>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</si>
  <si>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</si>
  <si>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</si>
  <si>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</si>
  <si>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</si>
  <si>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</si>
  <si>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</si>
  <si>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</si>
  <si>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</si>
  <si>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</si>
  <si>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</si>
  <si>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</si>
  <si>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</si>
  <si>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</si>
  <si>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</si>
  <si>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</si>
  <si>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</si>
  <si>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</si>
  <si>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</si>
  <si>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</si>
  <si>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</si>
  <si>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</si>
  <si>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</si>
  <si>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</si>
  <si>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</si>
  <si>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</si>
  <si>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</si>
  <si>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</si>
  <si>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</si>
  <si>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</si>
  <si>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</si>
  <si>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</si>
  <si>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</si>
  <si>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</si>
  <si>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</si>
  <si>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</si>
  <si>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</si>
  <si>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</si>
  <si>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</si>
  <si>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</si>
  <si>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</si>
  <si>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</si>
  <si>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</si>
  <si>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</si>
  <si>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</si>
  <si>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</si>
  <si>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</si>
  <si>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</si>
  <si>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</si>
  <si>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</si>
  <si>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</si>
  <si>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</si>
  <si>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</si>
  <si>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</si>
  <si>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</si>
  <si>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</si>
  <si>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</si>
  <si>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</si>
  <si>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</si>
  <si>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</si>
  <si>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</si>
  <si>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</si>
  <si>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</si>
  <si>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</si>
  <si>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</si>
  <si>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</si>
  <si>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</si>
  <si>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</si>
  <si>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</si>
  <si>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</si>
  <si>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</si>
  <si>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</si>
  <si>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</si>
  <si>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</si>
  <si>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</si>
  <si>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</si>
  <si>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</si>
  <si>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</si>
  <si>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</si>
  <si>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</si>
  <si>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</si>
  <si>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</si>
  <si>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</si>
  <si>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</si>
  <si>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</si>
  <si>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</si>
  <si>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</si>
  <si>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</si>
  <si>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</si>
  <si>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</si>
  <si>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</si>
  <si>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</si>
  <si>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</si>
  <si>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</si>
  <si>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</si>
  <si>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</si>
  <si>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</si>
  <si>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</si>
  <si>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</si>
  <si>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</si>
  <si>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</si>
  <si>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</si>
  <si>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</si>
  <si>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</si>
  <si>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</si>
  <si>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</si>
  <si>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</si>
  <si>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</si>
  <si>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</si>
  <si>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</si>
  <si>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</si>
  <si>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</si>
  <si>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</si>
  <si>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</si>
  <si>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</si>
  <si>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</si>
  <si>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</si>
  <si>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</si>
  <si>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</si>
  <si>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</si>
  <si>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</si>
  <si>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</si>
  <si>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</si>
  <si>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</si>
  <si>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</si>
  <si>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</si>
  <si>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</si>
  <si>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</si>
  <si>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</si>
  <si>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</si>
  <si>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</si>
  <si>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</si>
  <si>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</si>
  <si>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</si>
  <si>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</si>
  <si>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</si>
  <si>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</si>
  <si>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</si>
  <si>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</si>
  <si>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</si>
  <si>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</si>
  <si>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</si>
  <si>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</si>
  <si>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</si>
  <si>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</si>
  <si>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</si>
  <si>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</si>
  <si>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</si>
  <si>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</si>
  <si>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</si>
  <si>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</si>
  <si>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</si>
  <si>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</si>
  <si>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</si>
  <si>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</si>
  <si>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</si>
  <si>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</si>
  <si>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</si>
  <si>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</si>
  <si>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</si>
  <si>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</si>
  <si>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</si>
  <si>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</si>
  <si>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</si>
  <si>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</si>
  <si>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</si>
  <si>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</si>
  <si>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</si>
  <si>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</si>
  <si>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</si>
  <si>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</si>
  <si>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</si>
  <si>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</si>
  <si>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</si>
  <si>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</si>
  <si>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</si>
  <si>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</si>
  <si>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</si>
  <si>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</si>
  <si>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</si>
  <si>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</si>
  <si>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</si>
  <si>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</si>
  <si>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</si>
  <si>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</si>
  <si>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</si>
  <si>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</si>
  <si>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</si>
  <si>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</si>
  <si>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</si>
  <si>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</si>
  <si>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</si>
  <si>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</si>
  <si>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</si>
  <si>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</si>
  <si>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</si>
  <si>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</si>
  <si>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</si>
  <si>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</si>
  <si>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</si>
  <si>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</si>
  <si>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</si>
  <si>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</si>
  <si>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</si>
  <si>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</si>
  <si>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</si>
  <si>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</si>
  <si>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</si>
  <si>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</si>
  <si>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</si>
  <si>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</si>
  <si>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</si>
  <si>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</si>
  <si>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</si>
  <si>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</si>
  <si>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</si>
  <si>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</si>
  <si>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</si>
  <si>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</si>
  <si>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</si>
  <si>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</si>
  <si>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</si>
  <si>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</si>
  <si>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</si>
  <si>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</si>
  <si>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</si>
  <si>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</si>
  <si>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</si>
  <si>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</si>
  <si>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</si>
  <si>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</si>
  <si>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</si>
  <si>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</si>
  <si>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</si>
  <si>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</si>
  <si>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</si>
  <si>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</si>
  <si>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</si>
  <si>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</si>
  <si>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</si>
  <si>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</si>
  <si>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</si>
  <si>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</si>
  <si>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</si>
  <si>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</si>
  <si>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</si>
  <si>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</si>
  <si>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</si>
  <si>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</si>
  <si>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</si>
  <si>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</si>
  <si>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</si>
  <si>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</si>
  <si>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</si>
  <si>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</si>
  <si>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</si>
  <si>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</si>
  <si>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</si>
  <si>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</si>
  <si>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</si>
  <si>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</si>
  <si>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</si>
  <si>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</si>
  <si>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</si>
  <si>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</si>
  <si>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</si>
  <si>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</si>
  <si>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</si>
  <si>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</si>
  <si>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</si>
  <si>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</si>
  <si>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</si>
  <si>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</si>
  <si>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</si>
  <si>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</si>
  <si>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</si>
  <si>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</si>
  <si>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</si>
  <si>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</si>
  <si>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</si>
  <si>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</si>
  <si>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</si>
  <si>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</si>
  <si>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</si>
  <si>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</si>
  <si>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</si>
  <si>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</si>
  <si>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</si>
  <si>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</si>
  <si>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</si>
  <si>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</si>
  <si>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</si>
  <si>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</si>
  <si>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</si>
  <si>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</si>
  <si>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</si>
  <si>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</si>
  <si>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</si>
  <si>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</si>
  <si>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</si>
  <si>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</si>
  <si>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</si>
  <si>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</si>
  <si>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</si>
  <si>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</si>
  <si>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</si>
  <si>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</si>
  <si>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</si>
  <si>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</si>
  <si>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</si>
  <si>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</si>
  <si>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</si>
  <si>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</si>
  <si>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</si>
  <si>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</si>
  <si>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</si>
  <si>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</si>
  <si>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</si>
  <si>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</si>
  <si>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</si>
  <si>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</si>
  <si>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</si>
  <si>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</si>
  <si>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</si>
  <si>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</si>
  <si>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</si>
  <si>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</si>
  <si>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</si>
  <si>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</si>
  <si>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</si>
  <si>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</si>
  <si>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</si>
  <si>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</si>
  <si>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</si>
  <si>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</si>
  <si>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</si>
  <si>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</si>
  <si>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</si>
  <si>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</si>
  <si>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</si>
  <si>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</si>
  <si>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</si>
  <si>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</si>
  <si>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</si>
  <si>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</si>
  <si>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</si>
  <si>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</si>
  <si>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</si>
  <si>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</si>
  <si>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</si>
  <si>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</si>
  <si>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</si>
  <si>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</si>
  <si>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</si>
  <si>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</si>
  <si>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</si>
  <si>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</si>
  <si>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</si>
  <si>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</si>
  <si>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</si>
  <si>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</si>
  <si>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</si>
  <si>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</si>
  <si>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</si>
  <si>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</si>
  <si>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</si>
  <si>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</si>
  <si>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</si>
  <si>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</si>
  <si>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</si>
  <si>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</si>
  <si>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</si>
  <si>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</si>
  <si>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</si>
  <si>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</si>
  <si>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</si>
  <si>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</si>
  <si>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</si>
  <si>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</si>
  <si>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</si>
  <si>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</si>
  <si>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</si>
  <si>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</si>
  <si>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</si>
  <si>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</si>
  <si>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</si>
  <si>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</si>
  <si>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</si>
  <si>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</si>
  <si>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</si>
  <si>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</si>
  <si>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</si>
  <si>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</si>
  <si>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</si>
  <si>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</si>
  <si>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</si>
  <si>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</si>
  <si>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</si>
  <si>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</si>
  <si>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</si>
  <si>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</si>
  <si>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</si>
  <si>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</si>
  <si>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</si>
  <si>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</si>
  <si>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</si>
  <si>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</si>
  <si>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</si>
  <si>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</si>
  <si>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</si>
  <si>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</si>
  <si>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</si>
  <si>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</si>
  <si>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</si>
  <si>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</si>
  <si>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</si>
  <si>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</si>
  <si>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</si>
  <si>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</si>
  <si>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</si>
  <si>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</si>
  <si>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</si>
  <si>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</si>
  <si>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</si>
  <si>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</si>
  <si>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</si>
  <si>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</si>
  <si>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</si>
  <si>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</si>
  <si>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</si>
  <si>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</si>
  <si>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</si>
  <si>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</si>
  <si>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</si>
  <si>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</si>
  <si>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</si>
  <si>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</si>
  <si>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</si>
  <si>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</si>
  <si>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</si>
  <si>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</si>
  <si>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</si>
  <si>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</si>
  <si>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</si>
  <si>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</si>
  <si>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</si>
  <si>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</si>
  <si>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</si>
  <si>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</si>
  <si>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</si>
  <si>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</si>
  <si>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</si>
  <si>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</si>
  <si>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</si>
  <si>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</si>
  <si>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</si>
  <si>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</si>
  <si>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</si>
  <si>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</si>
  <si>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</si>
  <si>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</si>
  <si>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</si>
  <si>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</si>
  <si>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</si>
  <si>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</si>
  <si>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</si>
  <si>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</si>
  <si>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</si>
  <si>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</si>
  <si>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</si>
  <si>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</si>
  <si>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</si>
  <si>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</si>
  <si>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</si>
  <si>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</si>
  <si>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</si>
  <si>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</si>
  <si>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</si>
  <si>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</si>
  <si>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</si>
  <si>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</si>
  <si>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</si>
  <si>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</si>
  <si>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</si>
  <si>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</si>
  <si>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</si>
  <si>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</si>
  <si>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</si>
  <si>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</si>
  <si>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</si>
  <si>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</si>
  <si>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</si>
  <si>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</si>
  <si>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</si>
  <si>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</si>
  <si>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</si>
  <si>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</si>
  <si>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</si>
  <si>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</si>
  <si>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</si>
  <si>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</si>
  <si>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</si>
  <si>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</si>
  <si>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</si>
  <si>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</si>
  <si>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</si>
  <si>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</si>
  <si>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</si>
  <si>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</si>
  <si>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</si>
  <si>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</si>
  <si>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</si>
  <si>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</si>
  <si>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</si>
  <si>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</si>
  <si>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</si>
  <si>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</si>
  <si>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</si>
  <si>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</si>
  <si>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</si>
  <si>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</si>
  <si>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</si>
  <si>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</si>
  <si>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</si>
  <si>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</si>
  <si>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</si>
  <si>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</si>
  <si>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</si>
  <si>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</si>
  <si>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</si>
  <si>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</si>
  <si>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</si>
  <si>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</si>
  <si>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</si>
  <si>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</si>
  <si>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</si>
  <si>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</si>
  <si>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</si>
  <si>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</si>
  <si>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</si>
  <si>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</si>
  <si>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</si>
  <si>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</si>
  <si>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</si>
  <si>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</si>
  <si>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</si>
  <si>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</si>
  <si>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</si>
  <si>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</si>
  <si>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</si>
  <si>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</si>
  <si>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</si>
  <si>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</si>
  <si>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</si>
  <si>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</si>
  <si>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</si>
  <si>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</si>
  <si>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</si>
  <si>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</si>
  <si>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</si>
  <si>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</si>
  <si>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</si>
  <si>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</si>
  <si>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</si>
  <si>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</si>
  <si>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</si>
  <si>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</si>
  <si>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</si>
  <si>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</si>
  <si>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</si>
  <si>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</si>
  <si>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</si>
  <si>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</si>
  <si>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</si>
  <si>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</si>
  <si>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</si>
  <si>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</si>
  <si>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</si>
  <si>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</si>
  <si>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</si>
  <si>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</si>
  <si>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</si>
  <si>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</si>
  <si>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</si>
  <si>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</si>
  <si>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</si>
  <si>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</si>
  <si>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</si>
  <si>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</si>
  <si>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</si>
  <si>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</si>
  <si>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</si>
  <si>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</si>
  <si>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</si>
  <si>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</si>
  <si>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</si>
  <si>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</si>
  <si>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</si>
  <si>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</si>
  <si>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</si>
  <si>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</si>
  <si>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</si>
  <si>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</si>
  <si>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</si>
  <si>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</si>
  <si>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</si>
  <si>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</si>
  <si>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</si>
  <si>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</si>
  <si>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</si>
  <si>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</si>
  <si>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</si>
  <si>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</si>
  <si>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</si>
  <si>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</si>
  <si>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</si>
  <si>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</si>
  <si>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</si>
  <si>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</si>
  <si>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</si>
  <si>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</si>
  <si>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</si>
  <si>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</si>
  <si>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</si>
  <si>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</si>
  <si>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</si>
  <si>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</si>
  <si>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</si>
  <si>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</si>
  <si>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</si>
  <si>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</si>
  <si>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</si>
  <si>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</si>
  <si>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</si>
  <si>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</si>
  <si>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</si>
  <si>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</si>
  <si>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</si>
  <si>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</si>
  <si>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</si>
  <si>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</si>
  <si>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</si>
  <si>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</si>
  <si>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</si>
  <si>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</si>
  <si>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</si>
  <si>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</si>
  <si>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</si>
  <si>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</si>
  <si>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</si>
  <si>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</si>
  <si>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</si>
  <si>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</si>
  <si>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</si>
  <si>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</si>
  <si>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</si>
  <si>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</si>
  <si>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</si>
  <si>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</si>
  <si>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</si>
  <si>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</si>
  <si>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</si>
  <si>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</si>
  <si>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</si>
  <si>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</si>
  <si>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</si>
  <si>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</si>
  <si>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</si>
  <si>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</si>
  <si>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</si>
  <si>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</si>
  <si>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</si>
  <si>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</si>
  <si>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</si>
  <si>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</si>
  <si>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</si>
  <si>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</si>
  <si>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</si>
  <si>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</si>
  <si>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</si>
  <si>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</si>
  <si>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</si>
  <si>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</si>
  <si>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</si>
  <si>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</si>
  <si>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</si>
  <si>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</si>
  <si>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</si>
  <si>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</si>
  <si>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</si>
  <si>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</si>
  <si>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</si>
  <si>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</si>
  <si>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</si>
  <si>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</si>
  <si>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</si>
  <si>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</si>
  <si>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</si>
  <si>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</si>
  <si>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</si>
  <si>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</si>
  <si>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</si>
  <si>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</si>
  <si>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</si>
  <si>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</si>
  <si>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</si>
  <si>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</si>
  <si>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</si>
  <si>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</si>
  <si>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</si>
  <si>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</si>
  <si>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</si>
  <si>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</si>
  <si>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</si>
  <si>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</si>
  <si>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</si>
  <si>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</si>
  <si>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</si>
  <si>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</si>
  <si>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</si>
  <si>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</si>
  <si>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</si>
  <si>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</si>
  <si>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</si>
  <si>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</si>
  <si>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</si>
  <si>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</si>
  <si>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</si>
  <si>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</si>
  <si>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</si>
  <si>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</si>
  <si>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</si>
  <si>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</si>
  <si>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</si>
  <si>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</si>
  <si>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</si>
  <si>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</si>
  <si>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</si>
  <si>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</si>
  <si>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</si>
  <si>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</si>
  <si>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</si>
  <si>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</si>
  <si>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</si>
  <si>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</si>
  <si>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</si>
  <si>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</si>
  <si>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</si>
  <si>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</si>
  <si>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</si>
  <si>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</si>
  <si>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</si>
  <si>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</si>
  <si>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</si>
  <si>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</si>
  <si>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</si>
  <si>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</si>
  <si>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</si>
  <si>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</si>
  <si>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</si>
  <si>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</si>
  <si>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</si>
  <si>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</si>
  <si>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</si>
  <si>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</si>
  <si>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</si>
  <si>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</si>
  <si>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</si>
  <si>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</si>
  <si>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</si>
  <si>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</si>
  <si>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</si>
  <si>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</si>
  <si>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</si>
  <si>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</si>
  <si>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</si>
  <si>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</si>
  <si>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</si>
  <si>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</si>
  <si>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</si>
  <si>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</si>
  <si>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</si>
  <si>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</si>
  <si>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</si>
  <si>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</si>
  <si>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</si>
  <si>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</si>
  <si>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</si>
  <si>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</si>
  <si>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</si>
  <si>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</si>
  <si>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"Saxitoxin, g/m^3"</t>
  </si>
  <si>
    <t>Not used</t>
  </si>
  <si>
    <t>MICROCYSTIN, g/m3</t>
  </si>
  <si>
    <t>CYLINDROSPERMOPSIN, g/m3</t>
  </si>
  <si>
    <t>SAXITOXIN,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</si>
  <si>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</si>
  <si>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</si>
  <si>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</si>
  <si>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</si>
  <si>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</si>
  <si>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</si>
  <si>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</si>
  <si>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</si>
  <si>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</si>
  <si>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</si>
  <si>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</si>
  <si>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</si>
  <si>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</si>
  <si>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</si>
  <si>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</si>
  <si>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</si>
  <si>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</si>
  <si>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</si>
  <si>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</si>
  <si>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</si>
  <si>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</si>
  <si>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</si>
  <si>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</si>
  <si>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</si>
  <si>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</si>
  <si>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</si>
  <si>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</si>
  <si>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</si>
  <si>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</si>
  <si>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</si>
  <si>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</si>
  <si>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</si>
  <si>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</si>
  <si>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</si>
  <si>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</si>
  <si>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</si>
  <si>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</si>
  <si>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</si>
  <si>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</si>
  <si>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</si>
  <si>
    <t>TERM</t>
  </si>
  <si>
    <t>DETAIL</t>
  </si>
  <si>
    <t>MANN</t>
  </si>
  <si>
    <t>W2N</t>
  </si>
  <si>
    <t>(I10)</t>
  </si>
  <si>
    <t>SPSRFC</t>
  </si>
  <si>
    <t>SPVOLC</t>
  </si>
  <si>
    <t>SPFLOC</t>
  </si>
  <si>
    <t>HFLUXC</t>
  </si>
  <si>
    <t>tsr.csv</t>
  </si>
  <si>
    <t>rsi.npt</t>
  </si>
  <si>
    <t>HT_AGE</t>
  </si>
  <si>
    <t>"Heat Age, days"</t>
  </si>
  <si>
    <t>"TDS, g/m^3"</t>
  </si>
  <si>
    <t>Microcys</t>
  </si>
  <si>
    <t>Cylindro</t>
  </si>
  <si>
    <t>Anatoxin</t>
  </si>
  <si>
    <t>Saxitoxn</t>
  </si>
  <si>
    <t>"Water Age, days"</t>
  </si>
  <si>
    <t>"Bacteria,  col/100mL"</t>
  </si>
  <si>
    <t>"Dissolved Gas Pressure, atm"</t>
  </si>
  <si>
    <t>"N2 dissolved gas, mg/L"</t>
  </si>
  <si>
    <t>"H2S, dissolved gas, mg/L"</t>
  </si>
  <si>
    <t>"CH4 dissolved gas, mg/L"</t>
  </si>
  <si>
    <t>"SO4 dissolved, mg/L"</t>
  </si>
  <si>
    <t>"Reduced Fe(II), mg/L"</t>
  </si>
  <si>
    <t>"Oxidized FeOOH, mg/L"</t>
  </si>
  <si>
    <t>"Reduced Mn(II), mg/L"</t>
  </si>
  <si>
    <t>"Oxidized MnO2, mg/L"</t>
  </si>
  <si>
    <t>"Phosphate, g/m^3"</t>
  </si>
  <si>
    <t>"Ammonium, g/m^3"</t>
  </si>
  <si>
    <t>"Nitrate-Nitrite, g/m^3"</t>
  </si>
  <si>
    <t>"Dissolved silica, g/m^3"</t>
  </si>
  <si>
    <t>"Particulate silica, g/m^3"</t>
  </si>
  <si>
    <t>"Labile DOM, g/m^3"</t>
  </si>
  <si>
    <t>"Refractory DOM, g/m^3"</t>
  </si>
  <si>
    <t>"Labile POM, g/m^3"</t>
  </si>
  <si>
    <t>"Refractory POM, g/m^3"</t>
  </si>
  <si>
    <t>"Dissolved oxygen, g/m^3"</t>
  </si>
  <si>
    <t>"Inorganic carbon, g/m^3"</t>
  </si>
  <si>
    <t>"Alkalinity, g/m^3"</t>
  </si>
  <si>
    <t>"LDOM P, mg/m^3"</t>
  </si>
  <si>
    <t>"RDOM P, mg/m^3"</t>
  </si>
  <si>
    <t>"LPOM P, mg/m^3"</t>
  </si>
  <si>
    <t>"RPOM P, mg/m^3"</t>
  </si>
  <si>
    <t>"LDOM N, mg/m^3"</t>
  </si>
  <si>
    <t>"RDOM N, mg/m^3"</t>
  </si>
  <si>
    <t>"LPOM N, mg/m^3"</t>
  </si>
  <si>
    <t>"RPOM N, mg/m^3"</t>
  </si>
  <si>
    <t>"Cylindrospermopsin, g/m^3"</t>
  </si>
  <si>
    <t>"Anatoxin-a, g/m^3"</t>
  </si>
  <si>
    <t>ANATOXIN-a, g/m3</t>
  </si>
  <si>
    <t>CINBRC2 Inflow constituent for Branch 2</t>
  </si>
  <si>
    <t>CINBRC3 Inflow constituent for Branch 3</t>
  </si>
  <si>
    <t>CINBRC4 Inflow constituent for Branch 4</t>
  </si>
  <si>
    <t>CINBRC5 Inflow constituent for Branch 5</t>
  </si>
  <si>
    <t>CINBRC6 Inflow constituent for Branch 6</t>
  </si>
  <si>
    <t xml:space="preserve"> CDTBRC2 Distributed constituent for Branch 2</t>
  </si>
  <si>
    <t xml:space="preserve"> CDTBRC3 Distributed constituent for Branch 3</t>
  </si>
  <si>
    <t xml:space="preserve"> CDTBRC4 Distributed constituent for Branch 4</t>
  </si>
  <si>
    <t xml:space="preserve"> CDTBRC5 Distributed constituent for Branch 5</t>
  </si>
  <si>
    <t xml:space="preserve"> CDTBRC6 Distributed constituent for Branch 6</t>
  </si>
  <si>
    <t>CPRBRC2 Precipitation constituent for Branch 2</t>
  </si>
  <si>
    <t>CPRBRC3 Precipitation constituent for Branch 3</t>
  </si>
  <si>
    <t>CPRBRC4 Precipitation constituent for Branch 4</t>
  </si>
  <si>
    <t>CPRBRC5 Precipitation constituent for Branch 5</t>
  </si>
  <si>
    <t>CPRBRC6 Precipitation constituent for Branch 6</t>
  </si>
  <si>
    <t>DOC</t>
  </si>
  <si>
    <t>POC</t>
  </si>
  <si>
    <t>TOC</t>
  </si>
  <si>
    <t>DON</t>
  </si>
  <si>
    <t>PON</t>
  </si>
  <si>
    <t>TON</t>
  </si>
  <si>
    <t>TKN</t>
  </si>
  <si>
    <t>TN</t>
  </si>
  <si>
    <t>DOP</t>
  </si>
  <si>
    <t>POP</t>
  </si>
  <si>
    <t>TOP</t>
  </si>
  <si>
    <t>TP</t>
  </si>
  <si>
    <t>APR</t>
  </si>
  <si>
    <t>CHLA</t>
  </si>
  <si>
    <t>ATOT</t>
  </si>
  <si>
    <t>%DO</t>
  </si>
  <si>
    <t>TBDY</t>
  </si>
  <si>
    <t>TISS</t>
  </si>
  <si>
    <t>pH</t>
  </si>
  <si>
    <t>CO2</t>
  </si>
  <si>
    <t>HCO3</t>
  </si>
  <si>
    <t>CO3</t>
  </si>
  <si>
    <t>CBODU</t>
  </si>
  <si>
    <t>"Dissolved organic carbon, g/m^3"</t>
  </si>
  <si>
    <t>"Particulate organic carbon, g/m^3"</t>
  </si>
  <si>
    <t>"Total organic carbon, g/m^3"</t>
  </si>
  <si>
    <t>"Dissolved organic nitrogen, g/m^3"</t>
  </si>
  <si>
    <t>"Particulate organic nitrogen, g/m^3"</t>
  </si>
  <si>
    <t>"Total organic nitrogen, g/m^3"</t>
  </si>
  <si>
    <t>"Total Kjeldahl Nitrogen, g/m^3"</t>
  </si>
  <si>
    <t>"Total nitrogen, g/m^3"</t>
  </si>
  <si>
    <t>"Unionized ammonia nitrogen, g/m3"</t>
  </si>
  <si>
    <t>"Dissolved organic phosphorus, mg/m^3"</t>
  </si>
  <si>
    <t>"Particulate organic phosphorus, mg/m^3"</t>
  </si>
  <si>
    <t>"Total organic phosphorus, mg/m^3"</t>
  </si>
  <si>
    <t>"Total phosphorus, mg/m^3"</t>
  </si>
  <si>
    <t>"Algal production, g/m^2/day"</t>
  </si>
  <si>
    <t>"Chlorophyll a, mg/m^3"</t>
  </si>
  <si>
    <t>"Total algae, g/m^3"</t>
  </si>
  <si>
    <t>"Oxygen % gas saturation"</t>
  </si>
  <si>
    <t>"Total Dissolved Gas % saturation"</t>
  </si>
  <si>
    <t>"Turbidity, FNU"</t>
  </si>
  <si>
    <t>"Total Suspended Solids, g/m^3"</t>
  </si>
  <si>
    <t>"Total Inorganic Suspended Solids,g/m^3"</t>
  </si>
  <si>
    <t>"Carbonaceous Ultimate BOD, g/m^3"</t>
  </si>
  <si>
    <t>"pH"</t>
  </si>
  <si>
    <t>"CO2, g/m^3"</t>
  </si>
  <si>
    <t>"HCO3, g/m^3"</t>
  </si>
  <si>
    <t>"CO3, g/m^3"</t>
  </si>
  <si>
    <t>"Secchi disk depth, m"</t>
  </si>
  <si>
    <t>TISSIN</t>
  </si>
  <si>
    <t>TISSOUT</t>
  </si>
  <si>
    <t>PO4AR</t>
  </si>
  <si>
    <t>PO4AG</t>
  </si>
  <si>
    <t>PO4AP</t>
  </si>
  <si>
    <t>PO4ER</t>
  </si>
  <si>
    <t>PO4EG</t>
  </si>
  <si>
    <t>PO4EP</t>
  </si>
  <si>
    <t>PO4POM</t>
  </si>
  <si>
    <t>PO4DOM</t>
  </si>
  <si>
    <t>PO4OM</t>
  </si>
  <si>
    <t>PO4SED</t>
  </si>
  <si>
    <t>PO4SOD</t>
  </si>
  <si>
    <t>PO4SET</t>
  </si>
  <si>
    <t>NH4NITR</t>
  </si>
  <si>
    <t>NH4AR</t>
  </si>
  <si>
    <t>NH4AG</t>
  </si>
  <si>
    <t>NH4AP</t>
  </si>
  <si>
    <t>NH4ER</t>
  </si>
  <si>
    <t>NH4EG</t>
  </si>
  <si>
    <t>NH4EP</t>
  </si>
  <si>
    <t>NH4POM</t>
  </si>
  <si>
    <t>NH4DOM</t>
  </si>
  <si>
    <t>NH4OM</t>
  </si>
  <si>
    <t>NH4SED</t>
  </si>
  <si>
    <t>NH4SOD</t>
  </si>
  <si>
    <t>NO3DEN</t>
  </si>
  <si>
    <t>NO3AG</t>
  </si>
  <si>
    <t>NO3EG</t>
  </si>
  <si>
    <t>NO3SED</t>
  </si>
  <si>
    <t>DSIAG</t>
  </si>
  <si>
    <t>DSIEG</t>
  </si>
  <si>
    <t>DSISED</t>
  </si>
  <si>
    <t>DSISOD</t>
  </si>
  <si>
    <t>DSISET</t>
  </si>
  <si>
    <t>LDOMDK</t>
  </si>
  <si>
    <t>LRDOM</t>
  </si>
  <si>
    <t>RDOMDK</t>
  </si>
  <si>
    <t>LDOMAP</t>
  </si>
  <si>
    <t>LDOMEP</t>
  </si>
  <si>
    <t>LPOMDK</t>
  </si>
  <si>
    <t>LRPOM</t>
  </si>
  <si>
    <t>RPOMDK</t>
  </si>
  <si>
    <t>LPOMAP</t>
  </si>
  <si>
    <t>LPOMEP</t>
  </si>
  <si>
    <t>LPOMSET</t>
  </si>
  <si>
    <t>RPOMSET</t>
  </si>
  <si>
    <t>CBODDK</t>
  </si>
  <si>
    <t>DOAP</t>
  </si>
  <si>
    <t>DOAR</t>
  </si>
  <si>
    <t>DOER</t>
  </si>
  <si>
    <t>DOPOM</t>
  </si>
  <si>
    <t>DODOM</t>
  </si>
  <si>
    <t>DOOM</t>
  </si>
  <si>
    <t>DONITR</t>
  </si>
  <si>
    <t>DOCBOD</t>
  </si>
  <si>
    <t>DOREAR</t>
  </si>
  <si>
    <t>DOSED</t>
  </si>
  <si>
    <t>DOSOD</t>
  </si>
  <si>
    <t>TICAG</t>
  </si>
  <si>
    <t>TICEG</t>
  </si>
  <si>
    <t>SEDDK</t>
  </si>
  <si>
    <t>SEDAS</t>
  </si>
  <si>
    <t>SEDLPOM</t>
  </si>
  <si>
    <t>SEDSET</t>
  </si>
  <si>
    <t>SODDK</t>
  </si>
  <si>
    <t>DSIPBSI</t>
  </si>
  <si>
    <t>PBSIAM</t>
  </si>
  <si>
    <t>PBSINET</t>
  </si>
  <si>
    <t>PBSIDK</t>
  </si>
  <si>
    <t>Added: USGS edition 1</t>
  </si>
  <si>
    <t>CGTYPE, generic constituent type, for water/heat/source tracking</t>
  </si>
  <si>
    <t>CGSRC, generic constituent being age tracked</t>
  </si>
  <si>
    <t>NA</t>
  </si>
  <si>
    <t>"Microcystin, mg/m^3"</t>
  </si>
  <si>
    <t>"Cylindrospermopsin, mg/m^3"</t>
  </si>
  <si>
    <t>"Anatoxin-a, mg/m^3"</t>
  </si>
  <si>
    <t>"Saxitoxin, mg/m^3"</t>
  </si>
  <si>
    <t>USGS edition 1:  added SPSRFC, SPVOLC, SPFLOC, HFLUXC</t>
  </si>
  <si>
    <t>USGS edition 1:  removed ICEMIN, ICET2</t>
  </si>
  <si>
    <t>qgt.npt</t>
  </si>
  <si>
    <t>ext_wb1.npt</t>
  </si>
  <si>
    <t>atd_wb1.npt</t>
  </si>
  <si>
    <t>vpr_wb1.npt</t>
  </si>
  <si>
    <t>lpr_wb1.npt</t>
  </si>
  <si>
    <t>w2_selective.npt</t>
  </si>
  <si>
    <t>SELFN custom name for selective withdrawal control file</t>
  </si>
  <si>
    <t>Inputs to await:  TYPE (QIN,TIN,CIN,QTR,TTR,CTR,QDT,TDT,CDT), INDEX, SOURCE_FILE</t>
  </si>
  <si>
    <t>QIN</t>
  </si>
  <si>
    <t>TIN</t>
  </si>
  <si>
    <t>..\Koocanusa_2021\qwo_261_koo.csv</t>
  </si>
  <si>
    <t>..\Koocanusa_2021\two_261_koo.csv</t>
  </si>
  <si>
    <t>USGS w2_selective.npt!A1</t>
  </si>
  <si>
    <t>SNP</t>
  </si>
  <si>
    <t>(F10.4)</t>
  </si>
  <si>
    <t>(G10.4)</t>
  </si>
  <si>
    <t>USGS edition 3</t>
  </si>
  <si>
    <t>"Version 4.5: USGS edition 3"</t>
  </si>
  <si>
    <t>FRESH</t>
  </si>
  <si>
    <t>RECT</t>
  </si>
  <si>
    <t>WSTR1- Structure 1 width if "LINE" chosen, Width of structure (line sink), m</t>
  </si>
  <si>
    <t>C2IWB2 Initial concentration in WB2</t>
  </si>
  <si>
    <t>C_Atm_Depositon, WB2</t>
  </si>
  <si>
    <t>C_Atm_Depositon, WB1</t>
  </si>
  <si>
    <t>CPRWBC2 Print constituent for Water Body 2</t>
  </si>
  <si>
    <t>wsc.npt</t>
  </si>
  <si>
    <t>ext_wb2.npt</t>
  </si>
  <si>
    <t>atd_wb2.npt</t>
  </si>
  <si>
    <t>vpr_wb2.npt</t>
  </si>
  <si>
    <t>lpr_wb2.npt</t>
  </si>
  <si>
    <t>"Middle Willamette model"</t>
  </si>
  <si>
    <t>"Tualatin temps updated"</t>
  </si>
  <si>
    <t>"Time-of-travel offsets added for point sources"</t>
  </si>
  <si>
    <t>"Current conditions shade; withdrawal details updated"</t>
  </si>
  <si>
    <t>"Falls cap added back on (elevation changed to 16.1)"</t>
  </si>
  <si>
    <t>"Revisions by Norm Buccola, Laurel Stratton, Stewart Rounds, USGS"</t>
  </si>
  <si>
    <t>"Original by Scott Wells, Rob Annear, Chris Berger, PSU"</t>
  </si>
  <si>
    <t>DOWN</t>
  </si>
  <si>
    <t>DISTR</t>
  </si>
  <si>
    <t>QTR1_2015_14207500.npt</t>
  </si>
  <si>
    <t>TTR1_2015_14207200_filled.csv</t>
  </si>
  <si>
    <t>CTR1_2015_14207200_filled.csv</t>
  </si>
  <si>
    <t>QTR2_2015_Mill.npt</t>
  </si>
  <si>
    <t>TTR2_2015_Mill.npt</t>
  </si>
  <si>
    <t>CTR2_2015_Mill.npt</t>
  </si>
  <si>
    <t>QTR3_2015_Yamhill_estimated.npt</t>
  </si>
  <si>
    <t>QTR4_2015_Molalla_estimated.npt</t>
  </si>
  <si>
    <t>QTR5_qps_2015_WillsonvilleFlow.npt</t>
  </si>
  <si>
    <t>QTR6_qps_2015_SalemFlow.npt</t>
  </si>
  <si>
    <t>QTR7_qps_SPNewsprintQ_afix2001_2015_simplified.npt</t>
  </si>
  <si>
    <t>QTR8_qps_2015_NewbergFlow.npt</t>
  </si>
  <si>
    <t>QTR9_qps_2016_CanbyWWTP.npt</t>
  </si>
  <si>
    <t>QTR10_qps_2015_WestLinnFlow.npt</t>
  </si>
  <si>
    <t>TTR3_2015_YamhillR_estimatedwWarming5miles.npt</t>
  </si>
  <si>
    <t>CTR3_2015_YamhillR_estimatedwWarming5miles.npt</t>
  </si>
  <si>
    <t>TTR4_2015_MolallaR_estimated.npt</t>
  </si>
  <si>
    <t>CTR4_2015_MolallaR_estimated.npt</t>
  </si>
  <si>
    <t>TTR5_tps_2011_WillsonvilleWWTP.npt</t>
  </si>
  <si>
    <t>CTR5_tps_2011_WillsonvilleWWTP.npt</t>
  </si>
  <si>
    <t>TTR6_tps_2015_SalemTemp.npt</t>
  </si>
  <si>
    <t>CTR6_tps_2015_SalemTemp.npt</t>
  </si>
  <si>
    <t>TTR7_tps_SPNewsprint.npt</t>
  </si>
  <si>
    <t>CTR7_tps_SPNewsprint.npt</t>
  </si>
  <si>
    <t>TTR8_tps_2015_NewbergTemp.npt</t>
  </si>
  <si>
    <t>CTR8_tps_2015_NewbergTemp.npt</t>
  </si>
  <si>
    <t>TTR9_tps_2016_CanbyWWTP.npt</t>
  </si>
  <si>
    <t>CTR9_tps_2016_CanbyWWTP.npt</t>
  </si>
  <si>
    <t>TTR10_tps_2015_WestLinnTemp.npt</t>
  </si>
  <si>
    <t>CTR10_tps_2015_WestLinnTemp.npt</t>
  </si>
  <si>
    <t>mw.csv</t>
  </si>
  <si>
    <t>QT_COT</t>
  </si>
  <si>
    <t>QT_DOR</t>
  </si>
  <si>
    <t>QT_DEX</t>
  </si>
  <si>
    <t>QT_FAL</t>
  </si>
  <si>
    <t>QT_CGR</t>
  </si>
  <si>
    <t>QT_BLU</t>
  </si>
  <si>
    <t>QT_FOS</t>
  </si>
  <si>
    <t>QT_DET</t>
  </si>
  <si>
    <t>HT_INIT</t>
  </si>
  <si>
    <t>HT_COT</t>
  </si>
  <si>
    <t>HT_DOR</t>
  </si>
  <si>
    <t>HT_DEX</t>
  </si>
  <si>
    <t>HT_FAL</t>
  </si>
  <si>
    <t>HT_CGR</t>
  </si>
  <si>
    <t>HT_BLU</t>
  </si>
  <si>
    <t>HT_FOS</t>
  </si>
  <si>
    <t>HT_DET</t>
  </si>
  <si>
    <t>HT_INP</t>
  </si>
  <si>
    <t>HT_EXCH</t>
  </si>
  <si>
    <t>AQ_COT</t>
  </si>
  <si>
    <t>AQ_DOR</t>
  </si>
  <si>
    <t>AQ_DEX</t>
  </si>
  <si>
    <t>AQ_FAL</t>
  </si>
  <si>
    <t>AQ_CGR</t>
  </si>
  <si>
    <t>AQ_BLU</t>
  </si>
  <si>
    <t>AQ_FOS</t>
  </si>
  <si>
    <t>AQ_DET</t>
  </si>
  <si>
    <t>AH_INP</t>
  </si>
  <si>
    <t>AH_EXGH</t>
  </si>
  <si>
    <t>"Age of COT flow, days"</t>
  </si>
  <si>
    <t>"Age of DOR flow, days"</t>
  </si>
  <si>
    <t>"Age of DEX flow, days"</t>
  </si>
  <si>
    <t>"Age of FAL flow, days"</t>
  </si>
  <si>
    <t>"Age of CGR flow, days"</t>
  </si>
  <si>
    <t>"Age of BLU flow, days"</t>
  </si>
  <si>
    <t>"Age of FOS flow, days"</t>
  </si>
  <si>
    <t>"Age of DET flow, days"</t>
  </si>
  <si>
    <t>C2IWB3 Initial concentration in WB3</t>
  </si>
  <si>
    <t>CPRWBC3 Print constituent for Water Body 3</t>
  </si>
  <si>
    <t>C_Atm_Depositon, WB3</t>
  </si>
  <si>
    <t>CTRTRC2 Tributary constituent for Trib 2</t>
  </si>
  <si>
    <t>CTRTRC3 Tributary constituent for Trib 3</t>
  </si>
  <si>
    <t>CTRTRC4 Tributary constituent for Trib 4</t>
  </si>
  <si>
    <t>CTRTRC5 Tributary constituent for Trib 5</t>
  </si>
  <si>
    <t>CTRTRC6 Tributary constituent for Trib 6</t>
  </si>
  <si>
    <t>CTRTRC7 Tributary constituent for Trib 7</t>
  </si>
  <si>
    <t>CTRTRC8 Tributary constituent for Trib 8</t>
  </si>
  <si>
    <t>CTRTRC9 Tributary constituent for Trib 9</t>
  </si>
  <si>
    <t>CTRTRC10 Tributary constituent for Trib 10</t>
  </si>
  <si>
    <t>QTRACER</t>
  </si>
  <si>
    <t>AGE_SRC</t>
  </si>
  <si>
    <t>AH_EXCH</t>
  </si>
  <si>
    <t>RIVER</t>
  </si>
  <si>
    <t>ESTUARY</t>
  </si>
  <si>
    <t>qwd_2015_mw_updated.npt</t>
  </si>
  <si>
    <t>MiddleWillShadeCC.npt</t>
  </si>
  <si>
    <t>mw.w2l</t>
  </si>
  <si>
    <t>bth.npt</t>
  </si>
  <si>
    <t>bthb_adj.npt</t>
  </si>
  <si>
    <t>btha.npt</t>
  </si>
  <si>
    <t>Met_2015_Salem.npt</t>
  </si>
  <si>
    <t>Met_2015_McMinnville.npt</t>
  </si>
  <si>
    <t>Met_2015_Aurora.npt</t>
  </si>
  <si>
    <t>ext_wb3.npt</t>
  </si>
  <si>
    <t>atd_wb3.npt</t>
  </si>
  <si>
    <t>vpr_wb3.npt</t>
  </si>
  <si>
    <t>lpr_wb3.npt</t>
  </si>
  <si>
    <t>snp3.opt</t>
  </si>
  <si>
    <t>snp2.opt</t>
  </si>
  <si>
    <t>snp1.opt</t>
  </si>
  <si>
    <t>prf1.opt</t>
  </si>
  <si>
    <t>prf2.opt</t>
  </si>
  <si>
    <t>prf3.opt</t>
  </si>
  <si>
    <t>cpl3.opt</t>
  </si>
  <si>
    <t>cpl2.opt</t>
  </si>
  <si>
    <t>cpl1.opt</t>
  </si>
  <si>
    <t>spr1.csv</t>
  </si>
  <si>
    <t>spr2.csv</t>
  </si>
  <si>
    <t>spr3.csv</t>
  </si>
  <si>
    <t>flx3.opt</t>
  </si>
  <si>
    <t>flx2.opt</t>
  </si>
  <si>
    <t>flx1.opt</t>
  </si>
  <si>
    <t>qin_br2.npt</t>
  </si>
  <si>
    <t>qin_br6.npt</t>
  </si>
  <si>
    <t>qin_br5.npt</t>
  </si>
  <si>
    <t>qin_br4.npt</t>
  </si>
  <si>
    <t>qin_br3.npt</t>
  </si>
  <si>
    <t>qwo_666_uw.npt</t>
  </si>
  <si>
    <t>two_666_uw.npt</t>
  </si>
  <si>
    <t>cwo_666_uw.npt</t>
  </si>
  <si>
    <t>tin_br2.npt</t>
  </si>
  <si>
    <t>tin_br3.npt</t>
  </si>
  <si>
    <t>tin_br4.npt</t>
  </si>
  <si>
    <t>tin_br5.npt</t>
  </si>
  <si>
    <t>tin_br6.npt</t>
  </si>
  <si>
    <t>cin_br6.npt</t>
  </si>
  <si>
    <t>cin_br5.npt</t>
  </si>
  <si>
    <t>cin_br4.npt</t>
  </si>
  <si>
    <t>cin_br3.npt</t>
  </si>
  <si>
    <t>cin_br2.npt</t>
  </si>
  <si>
    <t>qot_br1.npt</t>
  </si>
  <si>
    <t>qot_br6.npt</t>
  </si>
  <si>
    <t>qot_br5.npt</t>
  </si>
  <si>
    <t>qot_br4.npt</t>
  </si>
  <si>
    <t>qot_br3.npt</t>
  </si>
  <si>
    <t>qot_br2.npt</t>
  </si>
  <si>
    <t>QDT1_2015.npt</t>
  </si>
  <si>
    <t>QDT5_2015.npt</t>
  </si>
  <si>
    <t>QDT3_2015.npt</t>
  </si>
  <si>
    <t>QDT2_2015.npt</t>
  </si>
  <si>
    <t>TDT1_Mill2015.npt</t>
  </si>
  <si>
    <t>TDT2_2015_YamhillR_estimatedwWarming5miles.npt</t>
  </si>
  <si>
    <t>TDT3_2015_YamhillR_estimatedwWarming5miles.npt</t>
  </si>
  <si>
    <t>TDT5_2015_YamhillR_estimatedwWarming5miles.npt</t>
  </si>
  <si>
    <t>CDT1_Mill2015.npt</t>
  </si>
  <si>
    <t>CDT2_2015_YamhillR_estimatedwWarming5miles.npt</t>
  </si>
  <si>
    <t>CDT3_2015_YamhillR_estimatedwWarming5miles.npt</t>
  </si>
  <si>
    <t>CDT5_2015_YamhillR_estimatedwWarming5miles.npt</t>
  </si>
  <si>
    <t>pre_br1.npt</t>
  </si>
  <si>
    <t>pre_br6.npt</t>
  </si>
  <si>
    <t>pre_br5.npt</t>
  </si>
  <si>
    <t>pre_br4.npt</t>
  </si>
  <si>
    <t>pre_br3.npt</t>
  </si>
  <si>
    <t>pre_br2.npt</t>
  </si>
  <si>
    <t>tpr_br1.npt</t>
  </si>
  <si>
    <t>tpr_br6.npt</t>
  </si>
  <si>
    <t>tpr_br5.npt</t>
  </si>
  <si>
    <t>tpr_br4.npt</t>
  </si>
  <si>
    <t>tpr_br3.npt</t>
  </si>
  <si>
    <t>tpr_br2.npt</t>
  </si>
  <si>
    <t>cpr_br1.npt</t>
  </si>
  <si>
    <t>cpr_br6.npt</t>
  </si>
  <si>
    <t>cpr_br5.npt</t>
  </si>
  <si>
    <t>cpr_br4.npt</t>
  </si>
  <si>
    <t>cpr_br3.npt</t>
  </si>
  <si>
    <t>cpr_br2.npt</t>
  </si>
  <si>
    <t>euh_br1.npt</t>
  </si>
  <si>
    <t>euh_br2.npt</t>
  </si>
  <si>
    <t>euh_br3.npt</t>
  </si>
  <si>
    <t>euh_br4.npt</t>
  </si>
  <si>
    <t>euh_br5.npt</t>
  </si>
  <si>
    <t>euh_br6.npt</t>
  </si>
  <si>
    <t>tuh_br1.npt</t>
  </si>
  <si>
    <t>tuh_br2.npt</t>
  </si>
  <si>
    <t>tuh_br3.npt</t>
  </si>
  <si>
    <t>tuh_br4.npt</t>
  </si>
  <si>
    <t>tuh_br5.npt</t>
  </si>
  <si>
    <t>tuh_br6.npt</t>
  </si>
  <si>
    <t>cuh_br1.npt</t>
  </si>
  <si>
    <t>cuh_br2.npt</t>
  </si>
  <si>
    <t>cuh_br3.npt</t>
  </si>
  <si>
    <t>cuh_br4.npt</t>
  </si>
  <si>
    <t>cuh_br5.npt</t>
  </si>
  <si>
    <t>cuh_br6.npt</t>
  </si>
  <si>
    <t>edh_br1.npt</t>
  </si>
  <si>
    <t>tdh_br1.npt</t>
  </si>
  <si>
    <t>cdh_br1.npt</t>
  </si>
  <si>
    <t>edh_br2.npt</t>
  </si>
  <si>
    <t>tdh_br2.npt</t>
  </si>
  <si>
    <t>cdh_br2.npt</t>
  </si>
  <si>
    <t>edh_br3.npt</t>
  </si>
  <si>
    <t>tdh_br3.npt</t>
  </si>
  <si>
    <t>cdh_br3.npt</t>
  </si>
  <si>
    <t>edh_br4.npt</t>
  </si>
  <si>
    <t>tdh_br4.npt</t>
  </si>
  <si>
    <t>cdh_br4.npt</t>
  </si>
  <si>
    <t>edh_br5.npt</t>
  </si>
  <si>
    <t>tdh_br5.npt</t>
  </si>
  <si>
    <t>cdh_br5.npt</t>
  </si>
  <si>
    <t>edh_br6.npt</t>
  </si>
  <si>
    <t>tdh_br6.npt</t>
  </si>
  <si>
    <t>cdh_br6.npt</t>
  </si>
  <si>
    <t>not_used</t>
  </si>
  <si>
    <t>"Heat age env fluxes, days"</t>
  </si>
  <si>
    <t>"Heat age other inputs, days"</t>
  </si>
  <si>
    <t>"HT env fluxes, "</t>
  </si>
  <si>
    <t>"HT water inputs, "</t>
  </si>
  <si>
    <t>"HT DET releases, "</t>
  </si>
  <si>
    <t>"HT FOS releases, "</t>
  </si>
  <si>
    <t>"HT BLU releases, "</t>
  </si>
  <si>
    <t>"HT CGR releases, "</t>
  </si>
  <si>
    <t>"HT FAL releases, "</t>
  </si>
  <si>
    <t>"HT DEX releases, "</t>
  </si>
  <si>
    <t>"HT DOR releases, "</t>
  </si>
  <si>
    <t>"HT COT releases, "</t>
  </si>
  <si>
    <t>"HT initial cond, "</t>
  </si>
  <si>
    <t>"DET flow, "</t>
  </si>
  <si>
    <t>"FOS flow, "</t>
  </si>
  <si>
    <t>"BLU flow, "</t>
  </si>
  <si>
    <t>"CGR flow, "</t>
  </si>
  <si>
    <t>"FAL flow, "</t>
  </si>
  <si>
    <t>"DEX flow, "</t>
  </si>
  <si>
    <t>"DOR flow, "</t>
  </si>
  <si>
    <t>"COT flow,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</si>
</sst>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
    <numFmt numFmtId="171" formatCode="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2">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xf numFmtId="170" fontId="0" fillId="2" borderId="1" xfId="0" applyNumberFormat="1" applyFill="1" applyBorder="1"/>
    <xf numFmtId="2" fontId="0" fillId="2" borderId="1" xfId="0" applyNumberFormat="1" applyFill="1" applyBorder="1"/>
    <xf numFmtId="14" fontId="1" fillId="11" borderId="1" xfId="0" applyNumberFormat="1" applyFont="1" applyFill="1" applyBorder="1"/>
    <xf numFmtId="171" fontId="0" fillId="2" borderId="1" xfId="0" applyNumberFormat="1" applyFill="1" applyBorder="1"/>
    <xf numFmtId="165" fontId="0" fillId="0" borderId="0" xfId="0" applyNumberFormat="1"/>
    <xf numFmtId="171" fontId="0" fillId="3" borderId="1" xfId="0" applyNumberFormat="1" applyFill="1" applyBorder="1"/>
    <xf numFmtId="0" fontId="1" fillId="7" borderId="6" xfId="0" applyFont="1" applyFill="1" applyBorder="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68580</xdr:colOff>
          <xdr:row>1</xdr:row>
          <xdr:rowOff>60960</xdr:rowOff>
        </xdr:from>
        <xdr:to>
          <xdr:col>22</xdr:col>
          <xdr:colOff>449580</xdr:colOff>
          <xdr:row>5</xdr:row>
          <xdr:rowOff>76200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7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D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E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F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0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1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3.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4.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80"/>
  <sheetViews>
    <sheetView workbookViewId="0">
      <selection activeCell="B9" sqref="B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1659</v>
      </c>
      <c r="D2" s="63" t="s">
        <v>2373</v>
      </c>
      <c r="E2" s="63"/>
    </row>
    <row r="3" spans="2:14" x14ac:dyDescent="0.3">
      <c r="B3" s="80" t="s">
        <v>1660</v>
      </c>
      <c r="D3" t="s">
        <v>2374</v>
      </c>
    </row>
    <row r="4" spans="2:14" x14ac:dyDescent="0.3">
      <c r="B4" s="72" t="s">
        <v>1661</v>
      </c>
    </row>
    <row r="5" spans="2:14" x14ac:dyDescent="0.3">
      <c r="B5" s="73" t="s">
        <v>1662</v>
      </c>
      <c r="D5" t="s">
        <v>2375</v>
      </c>
    </row>
    <row r="6" spans="2:14" x14ac:dyDescent="0.3">
      <c r="B6" s="74" t="s">
        <v>1663</v>
      </c>
      <c r="D6" t="s">
        <v>2375</v>
      </c>
    </row>
    <row r="7" spans="2:14" x14ac:dyDescent="0.3">
      <c r="B7" s="73" t="s">
        <v>1664</v>
      </c>
      <c r="D7" t="s">
        <v>2375</v>
      </c>
      <c r="M7" s="99"/>
    </row>
    <row r="8" spans="2:14" x14ac:dyDescent="0.3">
      <c r="B8" s="73" t="s">
        <v>1665</v>
      </c>
      <c r="D8" t="s">
        <v>2375</v>
      </c>
    </row>
    <row r="9" spans="2:14" x14ac:dyDescent="0.3">
      <c r="B9" s="73" t="s">
        <v>2618</v>
      </c>
    </row>
    <row r="10" spans="2:14" x14ac:dyDescent="0.3">
      <c r="B10" s="73" t="s">
        <v>1666</v>
      </c>
      <c r="D10" t="s">
        <v>2378</v>
      </c>
    </row>
    <row r="11" spans="2:14" x14ac:dyDescent="0.3">
      <c r="B11" s="73" t="s">
        <v>1667</v>
      </c>
      <c r="D11" t="s">
        <v>2378</v>
      </c>
    </row>
    <row r="12" spans="2:14" x14ac:dyDescent="0.3">
      <c r="B12" s="73" t="s">
        <v>1668</v>
      </c>
      <c r="D12" t="s">
        <v>2378</v>
      </c>
    </row>
    <row r="13" spans="2:14" x14ac:dyDescent="0.3">
      <c r="B13" s="73" t="s">
        <v>1669</v>
      </c>
      <c r="D13" t="s">
        <v>2378</v>
      </c>
      <c r="M13" s="97"/>
      <c r="N13" s="97"/>
    </row>
    <row r="14" spans="2:14" x14ac:dyDescent="0.3">
      <c r="B14" s="73" t="s">
        <v>1670</v>
      </c>
      <c r="D14" t="s">
        <v>2378</v>
      </c>
      <c r="M14" s="96"/>
    </row>
    <row r="15" spans="2:14" x14ac:dyDescent="0.3">
      <c r="B15" s="102" t="s">
        <v>2329</v>
      </c>
      <c r="D15" t="s">
        <v>2378</v>
      </c>
      <c r="M15" s="96"/>
    </row>
    <row r="16" spans="2:14" x14ac:dyDescent="0.3">
      <c r="B16" s="108" t="s">
        <v>2371</v>
      </c>
      <c r="D16" t="s">
        <v>2378</v>
      </c>
    </row>
    <row r="17" spans="1:14" x14ac:dyDescent="0.3">
      <c r="B17" s="108" t="s">
        <v>2370</v>
      </c>
      <c r="D17" t="s">
        <v>2375</v>
      </c>
      <c r="N17" s="97"/>
    </row>
    <row r="18" spans="1:14" x14ac:dyDescent="0.3">
      <c r="B18" s="108" t="s">
        <v>2369</v>
      </c>
      <c r="D18" t="s">
        <v>2376</v>
      </c>
    </row>
    <row r="19" spans="1:14" x14ac:dyDescent="0.3">
      <c r="B19" s="79" t="s">
        <v>1825</v>
      </c>
      <c r="D19" t="s">
        <v>2375</v>
      </c>
    </row>
    <row r="21" spans="1:14" x14ac:dyDescent="0.3">
      <c r="B21" s="73" t="s">
        <v>1671</v>
      </c>
      <c r="D21" t="s">
        <v>2377</v>
      </c>
      <c r="N21" s="98"/>
    </row>
    <row r="22" spans="1:14" x14ac:dyDescent="0.3">
      <c r="M22" s="66"/>
      <c r="N22" s="98"/>
    </row>
    <row r="26" spans="1:14" x14ac:dyDescent="0.3">
      <c r="A26" t="s">
        <v>1355</v>
      </c>
      <c r="M26" s="66"/>
    </row>
    <row r="27" spans="1:14" x14ac:dyDescent="0.3">
      <c r="A27" t="s">
        <v>1017</v>
      </c>
    </row>
    <row r="28" spans="1:14" x14ac:dyDescent="0.3">
      <c r="A28" t="s">
        <v>1018</v>
      </c>
    </row>
    <row r="30" spans="1:14" x14ac:dyDescent="0.3">
      <c r="A30" t="s">
        <v>984</v>
      </c>
    </row>
    <row r="31" spans="1:14" x14ac:dyDescent="0.3">
      <c r="A31" t="s">
        <v>985</v>
      </c>
    </row>
    <row r="32" spans="1:14" x14ac:dyDescent="0.3">
      <c r="A32" t="s">
        <v>1014</v>
      </c>
    </row>
    <row r="33" spans="1:18" x14ac:dyDescent="0.3">
      <c r="A33" t="s">
        <v>1776</v>
      </c>
    </row>
    <row r="34" spans="1:18" x14ac:dyDescent="0.3">
      <c r="A34" t="s">
        <v>986</v>
      </c>
      <c r="N34" s="17"/>
      <c r="O34" s="5" t="s">
        <v>658</v>
      </c>
      <c r="P34" s="5"/>
      <c r="Q34" s="5"/>
      <c r="R34" s="5"/>
    </row>
    <row r="35" spans="1:18" x14ac:dyDescent="0.3">
      <c r="A35" t="s">
        <v>987</v>
      </c>
      <c r="N35" s="11" t="s">
        <v>571</v>
      </c>
      <c r="O35" s="5" t="s">
        <v>568</v>
      </c>
      <c r="P35" s="4" t="s">
        <v>569</v>
      </c>
      <c r="Q35" s="5" t="s">
        <v>281</v>
      </c>
      <c r="R35" s="5" t="s">
        <v>280</v>
      </c>
    </row>
    <row r="36" spans="1:18" x14ac:dyDescent="0.3">
      <c r="A36" t="s">
        <v>988</v>
      </c>
      <c r="N36" s="12">
        <v>1</v>
      </c>
      <c r="O36" s="6" t="s">
        <v>53</v>
      </c>
      <c r="P36" s="6" t="s">
        <v>787</v>
      </c>
      <c r="Q36" s="6" t="s">
        <v>17</v>
      </c>
      <c r="R36" s="6" t="s">
        <v>153</v>
      </c>
    </row>
    <row r="37" spans="1:18" x14ac:dyDescent="0.3">
      <c r="A37" t="s">
        <v>989</v>
      </c>
      <c r="N37" s="11">
        <v>2</v>
      </c>
      <c r="O37" s="6" t="s">
        <v>54</v>
      </c>
      <c r="P37" s="6" t="s">
        <v>788</v>
      </c>
      <c r="Q37" s="6" t="s">
        <v>2</v>
      </c>
      <c r="R37" s="6" t="s">
        <v>153</v>
      </c>
    </row>
    <row r="38" spans="1:18" x14ac:dyDescent="0.3">
      <c r="A38" t="s">
        <v>990</v>
      </c>
      <c r="N38" s="12">
        <v>3</v>
      </c>
      <c r="O38" s="6" t="s">
        <v>55</v>
      </c>
      <c r="P38" s="6" t="s">
        <v>789</v>
      </c>
      <c r="Q38" s="6" t="s">
        <v>17</v>
      </c>
      <c r="R38" s="6" t="s">
        <v>153</v>
      </c>
    </row>
    <row r="39" spans="1:18" x14ac:dyDescent="0.3">
      <c r="A39" t="s">
        <v>991</v>
      </c>
      <c r="N39" s="11">
        <v>4</v>
      </c>
      <c r="O39" s="6" t="s">
        <v>56</v>
      </c>
      <c r="P39" s="6" t="s">
        <v>790</v>
      </c>
      <c r="Q39" s="6" t="s">
        <v>17</v>
      </c>
      <c r="R39" s="6" t="s">
        <v>153</v>
      </c>
    </row>
    <row r="40" spans="1:18" x14ac:dyDescent="0.3">
      <c r="A40" t="s">
        <v>1015</v>
      </c>
      <c r="N40" s="12">
        <v>5</v>
      </c>
      <c r="O40" s="6" t="s">
        <v>57</v>
      </c>
      <c r="P40" s="6" t="s">
        <v>791</v>
      </c>
      <c r="Q40" s="6" t="s">
        <v>17</v>
      </c>
      <c r="R40" s="6" t="s">
        <v>153</v>
      </c>
    </row>
    <row r="41" spans="1:18" x14ac:dyDescent="0.3">
      <c r="A41" t="s">
        <v>1016</v>
      </c>
      <c r="N41" s="11">
        <v>6</v>
      </c>
      <c r="O41" s="6" t="s">
        <v>58</v>
      </c>
      <c r="P41" s="6" t="s">
        <v>792</v>
      </c>
      <c r="Q41" s="6" t="s">
        <v>17</v>
      </c>
      <c r="R41" s="6" t="s">
        <v>153</v>
      </c>
    </row>
    <row r="42" spans="1:18" x14ac:dyDescent="0.3">
      <c r="A42" t="s">
        <v>993</v>
      </c>
      <c r="N42" s="12">
        <v>7</v>
      </c>
      <c r="O42" s="6" t="s">
        <v>59</v>
      </c>
      <c r="P42" s="6" t="s">
        <v>793</v>
      </c>
      <c r="Q42" s="6" t="s">
        <v>2</v>
      </c>
      <c r="R42" s="6" t="s">
        <v>153</v>
      </c>
    </row>
    <row r="43" spans="1:18" x14ac:dyDescent="0.3">
      <c r="A43" t="s">
        <v>1777</v>
      </c>
    </row>
    <row r="44" spans="1:18" x14ac:dyDescent="0.3">
      <c r="A44" s="24" t="s">
        <v>2379</v>
      </c>
    </row>
    <row r="45" spans="1:18" x14ac:dyDescent="0.3">
      <c r="N45" t="s">
        <v>1778</v>
      </c>
    </row>
    <row r="46" spans="1:18" x14ac:dyDescent="0.3">
      <c r="A46" t="s">
        <v>992</v>
      </c>
    </row>
    <row r="47" spans="1:18" x14ac:dyDescent="0.3">
      <c r="A47" t="s">
        <v>1779</v>
      </c>
      <c r="N47" t="s">
        <v>1780</v>
      </c>
    </row>
    <row r="48" spans="1:18" x14ac:dyDescent="0.3">
      <c r="M48">
        <v>1</v>
      </c>
      <c r="N48" s="62" t="s">
        <v>446</v>
      </c>
      <c r="O48" s="21" t="s">
        <v>156</v>
      </c>
    </row>
    <row r="49" spans="13:20" x14ac:dyDescent="0.3">
      <c r="N49" s="11" t="s">
        <v>264</v>
      </c>
      <c r="O49" s="1" t="s">
        <v>1098</v>
      </c>
      <c r="T49" t="str">
        <f>CHAR(34)&amp;O49&amp;CHAR(34)</f>
        <v>"Timestep violations [NVIOL]                "</v>
      </c>
    </row>
    <row r="50" spans="13:20" x14ac:dyDescent="0.3">
      <c r="N50" s="11" t="s">
        <v>34</v>
      </c>
      <c r="O50" s="1" t="s">
        <v>1781</v>
      </c>
      <c r="T50" t="str">
        <f t="shared" ref="T50:T55" si="0">CHAR(34)&amp;O50&amp;CHAR(34)</f>
        <v>"Horizontal velocity [U], m/s               "</v>
      </c>
    </row>
    <row r="51" spans="13:20" x14ac:dyDescent="0.3">
      <c r="N51" s="11" t="s">
        <v>35</v>
      </c>
      <c r="O51" s="1" t="s">
        <v>1782</v>
      </c>
      <c r="T51" t="str">
        <f t="shared" si="0"/>
        <v>"Vertical velocity [W], m/s                 "</v>
      </c>
    </row>
    <row r="52" spans="13:20" x14ac:dyDescent="0.3">
      <c r="N52" s="11" t="s">
        <v>36</v>
      </c>
      <c r="O52" s="1" t="s">
        <v>1783</v>
      </c>
      <c r="T52" t="str">
        <f t="shared" si="0"/>
        <v>"Temperature [T1], &lt;o/&gt;C                    "</v>
      </c>
    </row>
    <row r="53" spans="13:20" x14ac:dyDescent="0.3">
      <c r="N53" s="11" t="s">
        <v>37</v>
      </c>
      <c r="O53" s="1" t="s">
        <v>1784</v>
      </c>
      <c r="T53" t="str">
        <f t="shared" si="0"/>
        <v>"Density [RHO], kg/m^3                      "</v>
      </c>
    </row>
    <row r="54" spans="13:20" x14ac:dyDescent="0.3">
      <c r="N54" s="11" t="s">
        <v>38</v>
      </c>
      <c r="O54" s="1" t="s">
        <v>1785</v>
      </c>
      <c r="T54" t="str">
        <f t="shared" si="0"/>
        <v>"Vertical eddy viscosity [AZ], m^2/s        "</v>
      </c>
    </row>
    <row r="55" spans="13:20" x14ac:dyDescent="0.3">
      <c r="N55" s="11" t="s">
        <v>39</v>
      </c>
      <c r="O55" s="1" t="s">
        <v>1786</v>
      </c>
      <c r="T55" t="str">
        <f t="shared" si="0"/>
        <v>"Velocity shear stress [SHEAR], 1/s^2       "</v>
      </c>
    </row>
    <row r="56" spans="13:20" x14ac:dyDescent="0.3">
      <c r="M56">
        <v>2</v>
      </c>
      <c r="N56" s="62" t="s">
        <v>571</v>
      </c>
      <c r="O56" s="5" t="s">
        <v>1787</v>
      </c>
      <c r="P56" s="4" t="s">
        <v>1788</v>
      </c>
    </row>
    <row r="57" spans="13:20" x14ac:dyDescent="0.3">
      <c r="N57" s="12">
        <v>1</v>
      </c>
      <c r="O57" s="6" t="s">
        <v>1106</v>
      </c>
      <c r="P57" s="6" t="s">
        <v>1789</v>
      </c>
      <c r="T57" t="str">
        <f>CHAR(34)&amp;P57&amp;CHAR(34)</f>
        <v>"TDS, g/m^3                                 "</v>
      </c>
    </row>
    <row r="58" spans="13:20" x14ac:dyDescent="0.3">
      <c r="N58" s="11">
        <v>2</v>
      </c>
      <c r="O58" s="6" t="s">
        <v>1107</v>
      </c>
      <c r="P58" s="6" t="s">
        <v>1790</v>
      </c>
      <c r="T58" t="str">
        <f t="shared" ref="T58:T63" si="1">CHAR(34)&amp;P58&amp;CHAR(34)</f>
        <v>"Age, days                                  "</v>
      </c>
    </row>
    <row r="59" spans="13:20" x14ac:dyDescent="0.3">
      <c r="N59" s="12">
        <v>3</v>
      </c>
      <c r="O59" s="6" t="s">
        <v>1108</v>
      </c>
      <c r="P59" s="6" t="s">
        <v>1791</v>
      </c>
      <c r="T59" t="str">
        <f t="shared" si="1"/>
        <v>"H2S-d, g/m^3                               "</v>
      </c>
    </row>
    <row r="60" spans="13:20" x14ac:dyDescent="0.3">
      <c r="N60" s="11">
        <v>4</v>
      </c>
      <c r="O60" s="6" t="s">
        <v>1109</v>
      </c>
      <c r="P60" s="6" t="s">
        <v>1792</v>
      </c>
      <c r="T60" t="str">
        <f t="shared" si="1"/>
        <v>"CH4-d, g/m^3                               "</v>
      </c>
    </row>
    <row r="61" spans="13:20" x14ac:dyDescent="0.3">
      <c r="N61" s="12">
        <v>5</v>
      </c>
      <c r="O61" s="6" t="s">
        <v>1793</v>
      </c>
      <c r="P61" s="6" t="s">
        <v>1794</v>
      </c>
      <c r="T61" t="str">
        <f t="shared" si="1"/>
        <v>"SO4, g/m^3                                 "</v>
      </c>
    </row>
    <row r="62" spans="13:20" x14ac:dyDescent="0.3">
      <c r="N62" s="11">
        <v>6</v>
      </c>
      <c r="O62" s="13" t="s">
        <v>1795</v>
      </c>
      <c r="P62" s="64" t="s">
        <v>1796</v>
      </c>
      <c r="T62" t="str">
        <f t="shared" si="1"/>
        <v>"Tracer, g/m^3                              "</v>
      </c>
    </row>
    <row r="63" spans="13:20" x14ac:dyDescent="0.3">
      <c r="N63" s="12">
        <v>7</v>
      </c>
      <c r="O63" s="13" t="s">
        <v>1797</v>
      </c>
      <c r="P63" s="64" t="s">
        <v>1798</v>
      </c>
      <c r="T63" t="str">
        <f t="shared" si="1"/>
        <v>"Turbidity/1000, NTU                        "</v>
      </c>
    </row>
    <row r="64" spans="13:20" x14ac:dyDescent="0.3">
      <c r="M64">
        <v>3</v>
      </c>
      <c r="N64" s="62" t="s">
        <v>1655</v>
      </c>
      <c r="O64" s="5" t="s">
        <v>573</v>
      </c>
      <c r="P64" s="5" t="s">
        <v>166</v>
      </c>
    </row>
    <row r="65" spans="13:20" x14ac:dyDescent="0.3">
      <c r="N65" s="11"/>
      <c r="O65" s="6" t="s">
        <v>1110</v>
      </c>
      <c r="P65" s="6" t="s">
        <v>1111</v>
      </c>
      <c r="T65" t="str">
        <f>CHAR(34)&amp;P65&amp;CHAR(34)</f>
        <v>"Dissolved organic carbon, g/m^3            "</v>
      </c>
    </row>
    <row r="66" spans="13:20" x14ac:dyDescent="0.3">
      <c r="N66" s="11"/>
      <c r="O66" s="6" t="s">
        <v>1112</v>
      </c>
      <c r="P66" s="6" t="s">
        <v>1113</v>
      </c>
      <c r="T66" t="str">
        <f t="shared" ref="T66:T69" si="2">CHAR(34)&amp;P66&amp;CHAR(34)</f>
        <v>"Particulate organic carbon, g/m^3          "</v>
      </c>
    </row>
    <row r="67" spans="13:20" x14ac:dyDescent="0.3">
      <c r="N67" s="11"/>
      <c r="O67" s="6" t="s">
        <v>1114</v>
      </c>
      <c r="P67" s="6" t="s">
        <v>1115</v>
      </c>
      <c r="T67" t="str">
        <f t="shared" si="2"/>
        <v>"Total organic carbon, g/m^3                "</v>
      </c>
    </row>
    <row r="68" spans="13:20" x14ac:dyDescent="0.3">
      <c r="N68" s="11"/>
      <c r="O68" s="6" t="s">
        <v>1116</v>
      </c>
      <c r="P68" s="6" t="s">
        <v>1117</v>
      </c>
      <c r="T68" t="str">
        <f t="shared" si="2"/>
        <v>"Dissolved organic nitrogen, g/m^3          "</v>
      </c>
    </row>
    <row r="69" spans="13:20" x14ac:dyDescent="0.3">
      <c r="N69" s="11"/>
      <c r="O69" s="6" t="s">
        <v>1118</v>
      </c>
      <c r="P69" s="6" t="s">
        <v>1119</v>
      </c>
      <c r="T69" t="str">
        <f t="shared" si="2"/>
        <v>"Particulate organic nitrogen, g/m^3        "</v>
      </c>
    </row>
    <row r="70" spans="13:20" x14ac:dyDescent="0.3">
      <c r="M70">
        <v>4</v>
      </c>
      <c r="N70" s="62" t="s">
        <v>0</v>
      </c>
      <c r="O70" s="36" t="s">
        <v>1063</v>
      </c>
    </row>
    <row r="71" spans="13:20" x14ac:dyDescent="0.3">
      <c r="N71" s="11" t="s">
        <v>541</v>
      </c>
      <c r="O71" s="6" t="s">
        <v>1799</v>
      </c>
      <c r="T71" t="str">
        <f>CHAR(34)&amp;O71&amp;CHAR(34)</f>
        <v>"CE-QUAL-W2 Model / Version 4.5"</v>
      </c>
    </row>
    <row r="72" spans="13:20" x14ac:dyDescent="0.3">
      <c r="N72" s="11"/>
      <c r="O72" s="6" t="s">
        <v>1800</v>
      </c>
      <c r="T72" t="str">
        <f t="shared" ref="T72:T80" si="3">CHAR(34)&amp;O72&amp;CHAR(34)</f>
        <v>"Oxbow Reservoir"</v>
      </c>
    </row>
    <row r="73" spans="13:20" x14ac:dyDescent="0.3">
      <c r="N73" s="11"/>
      <c r="O73" s="6" t="s">
        <v>1801</v>
      </c>
      <c r="T73" t="str">
        <f t="shared" si="3"/>
        <v>"2014-2018"</v>
      </c>
    </row>
    <row r="74" spans="13:20" x14ac:dyDescent="0.3">
      <c r="N74" s="11"/>
      <c r="O74" s="6"/>
      <c r="T74" t="str">
        <f t="shared" si="3"/>
        <v>""</v>
      </c>
    </row>
    <row r="75" spans="13:20" x14ac:dyDescent="0.3">
      <c r="N75" s="11"/>
      <c r="O75" s="6"/>
      <c r="T75" t="str">
        <f t="shared" si="3"/>
        <v>""</v>
      </c>
    </row>
    <row r="76" spans="13:20" x14ac:dyDescent="0.3">
      <c r="N76" s="11"/>
      <c r="O76" s="6"/>
      <c r="T76" t="str">
        <f t="shared" si="3"/>
        <v>""</v>
      </c>
    </row>
    <row r="77" spans="13:20" x14ac:dyDescent="0.3">
      <c r="N77" s="11"/>
      <c r="O77" s="6" t="s">
        <v>1802</v>
      </c>
      <c r="T77" t="str">
        <f t="shared" si="3"/>
        <v>"Scott Wells and Chris Berger"</v>
      </c>
    </row>
    <row r="78" spans="13:20" x14ac:dyDescent="0.3">
      <c r="N78" s="11"/>
      <c r="O78" s="6"/>
      <c r="T78" t="str">
        <f t="shared" si="3"/>
        <v>""</v>
      </c>
    </row>
    <row r="79" spans="13:20" x14ac:dyDescent="0.3">
      <c r="N79" s="11"/>
      <c r="O79" s="6"/>
      <c r="T79" t="str">
        <f t="shared" si="3"/>
        <v>""</v>
      </c>
    </row>
    <row r="80" spans="13:20" x14ac:dyDescent="0.3">
      <c r="N80" s="11"/>
      <c r="O80" s="6"/>
      <c r="T80"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10" location="w2_constriction.csv!A1" display="w2_constriction.csv!A1" xr:uid="{EDF8C58D-7BAB-40BC-B736-0A47D55FD373}"/>
    <hyperlink ref="B11" location="w2_particle.csv!A1" display="w2_particle.csv!A1" xr:uid="{178C01A9-80D8-426B-9F69-17F2389A6E86}"/>
    <hyperlink ref="B12" location="w2_multiple_WB.npt!A1" display="w2_multiple_WB.npt!A1" xr:uid="{3D3EB03B-3B53-4B1D-91F9-1C32E952B353}"/>
    <hyperlink ref="B13" location="w2_tecplotbr.csv!A1" display="w2_tecplotbr.csv!A1" xr:uid="{5A257B26-B47A-496F-86D5-842189C2F197}"/>
    <hyperlink ref="B14" location="w2_systdg.npt!A1" display="w2_systdg.npt!A1" xr:uid="{552F1274-CDCE-4EFF-9E36-AD4E19F7A2A2}"/>
    <hyperlink ref="B21" location="atm_deposition_wb1.csv!A1" display="atm_deposition_wb1.csv!A1" xr:uid="{663B3F39-0C8A-4973-88AB-CD69AE156E8B}"/>
    <hyperlink ref="B19" location="w2_diagenesis.npt!A1" display="w2_diagenesis.npt!A1" xr:uid="{3A58743D-539D-40F4-AED9-C9C93DCF435E}"/>
    <hyperlink ref="B15" location="w2_TDGTarget.csv!A1" display="w2_TDGTarget.csv!A1" xr:uid="{1F74125F-565C-4F79-A52B-21B52F638B86}"/>
    <hyperlink ref="B18" location="w2_Algae_Toxin.csv!A1" display="Algae_Toxin.csv!A1" xr:uid="{9C8660B0-9007-45CD-9743-832B3490E250}"/>
    <hyperlink ref="B17" location="w2_AlgaeMigration.csv!A1" display="AlgaeMigration.csv!A1" xr:uid="{E1EC4C2B-0525-4773-89A7-32FBBB29832E}"/>
    <hyperlink ref="B16" location="w2_lake_river_contour.csv!A1" display="lake_river_contour.csv!A1" xr:uid="{B9A5DCFE-1C8E-4E7E-A98E-B6EE423C551E}"/>
    <hyperlink ref="B9" location="'USGS w2_selective.npt'!A1" display="USGS w2_selective.npt!A1" xr:uid="{F2B4FDAB-03A0-4441-A123-007DF2F9D071}"/>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OS926"/>
  <sheetViews>
    <sheetView tabSelected="1" topLeftCell="B1" zoomScale="90" zoomScaleNormal="90" workbookViewId="0">
      <selection activeCell="C1" sqref="C1"/>
    </sheetView>
  </sheetViews>
  <sheetFormatPr defaultRowHeight="14.4" x14ac:dyDescent="0.3"/>
  <cols>
    <col min="1" max="1" width="61" style="25" customWidth="1"/>
    <col min="2" max="2" width="65.44140625" style="12" customWidth="1"/>
    <col min="3" max="3" width="14.109375" customWidth="1"/>
    <col min="4" max="4" width="15.109375" bestFit="1" customWidth="1"/>
    <col min="5" max="5" width="9.88671875" customWidth="1"/>
    <col min="7" max="7" width="13.109375" bestFit="1" customWidth="1"/>
    <col min="8" max="8" width="10" customWidth="1"/>
    <col min="14" max="30" width="9.33203125" customWidth="1"/>
  </cols>
  <sheetData>
    <row r="1" spans="1:14" x14ac:dyDescent="0.3">
      <c r="A1" s="25" t="s">
        <v>997</v>
      </c>
      <c r="B1" s="20" t="s">
        <v>507</v>
      </c>
      <c r="C1" s="5" t="s">
        <v>235</v>
      </c>
      <c r="D1" s="5"/>
      <c r="E1" s="5">
        <v>4.5</v>
      </c>
      <c r="F1" s="5" t="s">
        <v>2622</v>
      </c>
      <c r="G1" s="5"/>
      <c r="H1" s="5"/>
      <c r="I1" s="5"/>
      <c r="J1" s="5"/>
      <c r="K1" s="5"/>
      <c r="L1" s="5"/>
      <c r="M1" s="5"/>
    </row>
    <row r="2" spans="1:14" x14ac:dyDescent="0.3">
      <c r="B2" s="17"/>
      <c r="C2" s="5" t="s">
        <v>786</v>
      </c>
      <c r="D2" s="5"/>
      <c r="E2" s="5">
        <v>4.5</v>
      </c>
      <c r="F2" s="5" t="s">
        <v>1062</v>
      </c>
      <c r="G2" s="5"/>
      <c r="H2" s="5"/>
      <c r="I2" s="5"/>
      <c r="J2" s="5"/>
      <c r="K2" s="5"/>
      <c r="L2" s="5"/>
      <c r="M2" s="5"/>
    </row>
    <row r="3" spans="1:14" x14ac:dyDescent="0.3">
      <c r="A3" s="26" t="s">
        <v>1019</v>
      </c>
      <c r="B3" s="62" t="s">
        <v>0</v>
      </c>
      <c r="C3" s="36" t="s">
        <v>1063</v>
      </c>
      <c r="D3" s="5"/>
      <c r="E3" s="5"/>
      <c r="F3" s="5"/>
      <c r="G3" s="5"/>
      <c r="H3" s="5"/>
      <c r="I3" s="5"/>
      <c r="J3" s="5"/>
      <c r="K3" s="5"/>
      <c r="L3" s="5"/>
      <c r="M3" s="5"/>
    </row>
    <row r="4" spans="1:14" x14ac:dyDescent="0.3">
      <c r="A4" s="26" t="s">
        <v>1021</v>
      </c>
      <c r="B4" s="11" t="s">
        <v>541</v>
      </c>
      <c r="C4" s="6" t="s">
        <v>2623</v>
      </c>
      <c r="D4" s="5"/>
      <c r="E4" s="5"/>
      <c r="F4" s="5"/>
      <c r="G4" s="5"/>
      <c r="H4" s="5"/>
      <c r="I4" s="5"/>
      <c r="J4" s="5"/>
      <c r="K4" s="5"/>
      <c r="L4" s="5"/>
      <c r="M4" s="5"/>
      <c r="N4" s="6"/>
    </row>
    <row r="5" spans="1:14" x14ac:dyDescent="0.3">
      <c r="A5" s="26" t="s">
        <v>1020</v>
      </c>
      <c r="B5" s="11"/>
      <c r="C5" s="6" t="s">
        <v>2636</v>
      </c>
      <c r="D5" s="5"/>
      <c r="E5" s="5"/>
      <c r="F5" s="5"/>
      <c r="G5" s="5"/>
      <c r="H5" s="5"/>
      <c r="I5" s="5"/>
      <c r="J5" s="5"/>
      <c r="K5" s="5"/>
      <c r="L5" s="5"/>
      <c r="M5" s="5"/>
      <c r="N5" s="6"/>
    </row>
    <row r="6" spans="1:14" x14ac:dyDescent="0.3">
      <c r="A6" s="26" t="s">
        <v>659</v>
      </c>
      <c r="B6" s="11"/>
      <c r="C6" s="6" t="s">
        <v>2642</v>
      </c>
      <c r="D6" s="5"/>
      <c r="E6" s="5"/>
      <c r="F6" s="5"/>
      <c r="G6" s="5"/>
      <c r="H6" s="5"/>
      <c r="I6" s="5"/>
      <c r="J6" s="5"/>
      <c r="K6" s="5"/>
      <c r="L6" s="5"/>
      <c r="M6" s="5"/>
      <c r="N6" s="6"/>
    </row>
    <row r="7" spans="1:14" x14ac:dyDescent="0.3">
      <c r="A7" s="25" t="s">
        <v>384</v>
      </c>
      <c r="B7" s="11"/>
      <c r="C7" s="6" t="s">
        <v>2641</v>
      </c>
      <c r="D7" s="5"/>
      <c r="E7" s="5"/>
      <c r="F7" s="5"/>
      <c r="G7" s="5"/>
      <c r="H7" s="5"/>
      <c r="I7" s="5"/>
      <c r="J7" s="5"/>
      <c r="K7" s="5"/>
      <c r="L7" s="5"/>
      <c r="M7" s="5"/>
      <c r="N7" s="6"/>
    </row>
    <row r="8" spans="1:14" x14ac:dyDescent="0.3">
      <c r="A8" s="25" t="s">
        <v>385</v>
      </c>
      <c r="B8" s="11"/>
      <c r="C8" s="6" t="s">
        <v>1203</v>
      </c>
      <c r="D8" s="5"/>
      <c r="E8" s="5"/>
      <c r="F8" s="5"/>
      <c r="G8" s="5"/>
      <c r="H8" s="5"/>
      <c r="I8" s="5"/>
      <c r="J8" s="5"/>
      <c r="K8" s="5"/>
      <c r="L8" s="5"/>
      <c r="M8" s="5"/>
      <c r="N8" s="6"/>
    </row>
    <row r="9" spans="1:14" x14ac:dyDescent="0.3">
      <c r="A9" s="25" t="s">
        <v>386</v>
      </c>
      <c r="B9" s="11"/>
      <c r="C9" s="6" t="s">
        <v>2640</v>
      </c>
      <c r="D9" s="5"/>
      <c r="E9" s="5"/>
      <c r="F9" s="5"/>
      <c r="G9" s="5"/>
      <c r="H9" s="5"/>
      <c r="I9" s="5"/>
      <c r="J9" s="5"/>
      <c r="K9" s="5"/>
      <c r="L9" s="5"/>
      <c r="M9" s="5"/>
      <c r="N9" s="6"/>
    </row>
    <row r="10" spans="1:14" x14ac:dyDescent="0.3">
      <c r="A10" s="25" t="s">
        <v>387</v>
      </c>
      <c r="B10" s="11"/>
      <c r="C10" s="6" t="s">
        <v>2639</v>
      </c>
      <c r="D10" s="5"/>
      <c r="E10" s="5"/>
      <c r="F10" s="5"/>
      <c r="G10" s="5"/>
      <c r="H10" s="5"/>
      <c r="I10" s="5"/>
      <c r="J10" s="5"/>
      <c r="K10" s="5"/>
      <c r="L10" s="5"/>
      <c r="M10" s="5"/>
      <c r="N10" s="6"/>
    </row>
    <row r="11" spans="1:14" x14ac:dyDescent="0.3">
      <c r="A11" s="25" t="s">
        <v>388</v>
      </c>
      <c r="B11" s="11"/>
      <c r="C11" s="6" t="s">
        <v>2638</v>
      </c>
      <c r="D11" s="5"/>
      <c r="E11" s="5"/>
      <c r="F11" s="5"/>
      <c r="G11" s="5"/>
      <c r="H11" s="5"/>
      <c r="I11" s="5"/>
      <c r="J11" s="5"/>
      <c r="K11" s="5"/>
      <c r="L11" s="5"/>
      <c r="M11" s="5"/>
      <c r="N11" s="6"/>
    </row>
    <row r="12" spans="1:14" x14ac:dyDescent="0.3">
      <c r="A12" s="25" t="s">
        <v>389</v>
      </c>
      <c r="B12" s="11"/>
      <c r="C12" s="6" t="s">
        <v>2637</v>
      </c>
      <c r="D12" s="5"/>
      <c r="E12" s="5"/>
      <c r="F12" s="5"/>
      <c r="G12" s="5"/>
      <c r="H12" s="5"/>
      <c r="I12" s="5"/>
      <c r="J12" s="5"/>
      <c r="K12" s="5"/>
      <c r="L12" s="5"/>
      <c r="M12" s="5"/>
      <c r="N12" s="6"/>
    </row>
    <row r="13" spans="1:14" x14ac:dyDescent="0.3">
      <c r="A13" s="25" t="s">
        <v>390</v>
      </c>
      <c r="B13" s="11"/>
      <c r="C13" s="6" t="s">
        <v>1203</v>
      </c>
      <c r="D13" s="5"/>
      <c r="E13" s="5"/>
      <c r="F13" s="5"/>
      <c r="G13" s="5"/>
      <c r="H13" s="5"/>
      <c r="I13" s="5"/>
      <c r="J13" s="5"/>
      <c r="K13" s="5"/>
      <c r="L13" s="5"/>
      <c r="M13" s="5"/>
      <c r="N13" s="6"/>
    </row>
    <row r="14" spans="1:14" x14ac:dyDescent="0.3">
      <c r="A14" s="25" t="s">
        <v>391</v>
      </c>
      <c r="B14" s="17"/>
      <c r="C14" s="5" t="s">
        <v>511</v>
      </c>
      <c r="D14" s="5"/>
      <c r="E14" s="5"/>
      <c r="F14" s="5"/>
      <c r="G14" s="5"/>
      <c r="H14" s="5"/>
      <c r="I14" s="5"/>
      <c r="J14" s="5"/>
      <c r="K14" s="5"/>
      <c r="L14" s="5"/>
      <c r="M14" s="5"/>
    </row>
    <row r="15" spans="1:14" x14ac:dyDescent="0.3">
      <c r="A15" s="25" t="s">
        <v>392</v>
      </c>
      <c r="B15" s="62" t="s">
        <v>312</v>
      </c>
      <c r="C15" s="21" t="s">
        <v>1</v>
      </c>
      <c r="D15" s="21" t="s">
        <v>1064</v>
      </c>
      <c r="E15" s="21" t="s">
        <v>1065</v>
      </c>
      <c r="F15" s="21" t="s">
        <v>1066</v>
      </c>
      <c r="G15" s="21" t="s">
        <v>1067</v>
      </c>
      <c r="H15" s="21" t="s">
        <v>1068</v>
      </c>
      <c r="I15" s="5"/>
      <c r="J15" s="5"/>
      <c r="K15" s="5"/>
      <c r="L15" s="5"/>
      <c r="M15" s="5"/>
    </row>
    <row r="16" spans="1:14" x14ac:dyDescent="0.3">
      <c r="A16" s="25" t="s">
        <v>393</v>
      </c>
      <c r="B16" s="11"/>
      <c r="C16" s="6">
        <v>3</v>
      </c>
      <c r="D16" s="6">
        <v>6</v>
      </c>
      <c r="E16" s="6">
        <v>407</v>
      </c>
      <c r="F16" s="6">
        <v>45</v>
      </c>
      <c r="G16" s="6">
        <v>1</v>
      </c>
      <c r="H16" s="6" t="s">
        <v>17</v>
      </c>
      <c r="I16" s="5"/>
      <c r="J16" s="5"/>
      <c r="K16" s="5"/>
      <c r="L16" s="5"/>
      <c r="M16" s="5"/>
    </row>
    <row r="17" spans="1:23" x14ac:dyDescent="0.3">
      <c r="A17" s="25" t="s">
        <v>394</v>
      </c>
      <c r="B17" s="17"/>
      <c r="C17" s="5" t="s">
        <v>511</v>
      </c>
      <c r="D17" s="5"/>
      <c r="E17" s="5"/>
      <c r="F17" s="5"/>
      <c r="G17" s="5"/>
      <c r="H17" s="5"/>
      <c r="I17" s="5"/>
      <c r="J17" s="5"/>
      <c r="K17" s="5"/>
      <c r="L17" s="5"/>
      <c r="M17" s="5"/>
    </row>
    <row r="18" spans="1:23" x14ac:dyDescent="0.3">
      <c r="A18" s="25" t="s">
        <v>395</v>
      </c>
      <c r="B18" s="62" t="s">
        <v>311</v>
      </c>
      <c r="C18" s="21" t="s">
        <v>3</v>
      </c>
      <c r="D18" s="21" t="s">
        <v>1070</v>
      </c>
      <c r="E18" s="21" t="s">
        <v>1071</v>
      </c>
      <c r="F18" s="21" t="s">
        <v>1072</v>
      </c>
      <c r="G18" s="21" t="s">
        <v>1073</v>
      </c>
      <c r="H18" s="21" t="s">
        <v>1074</v>
      </c>
      <c r="I18" s="21" t="s">
        <v>1075</v>
      </c>
      <c r="J18" s="21" t="s">
        <v>1076</v>
      </c>
      <c r="K18" s="5"/>
      <c r="L18" s="5"/>
      <c r="M18" s="5"/>
    </row>
    <row r="19" spans="1:23" x14ac:dyDescent="0.3">
      <c r="A19" s="25" t="s">
        <v>396</v>
      </c>
      <c r="B19" s="11"/>
      <c r="C19" s="6">
        <v>10</v>
      </c>
      <c r="D19" s="6">
        <v>0</v>
      </c>
      <c r="E19" s="6">
        <v>0</v>
      </c>
      <c r="F19" s="6">
        <v>6</v>
      </c>
      <c r="G19" s="6">
        <v>0</v>
      </c>
      <c r="H19" s="6">
        <v>1</v>
      </c>
      <c r="I19" s="6">
        <v>0</v>
      </c>
      <c r="J19" s="6">
        <v>0</v>
      </c>
      <c r="K19" s="5"/>
      <c r="L19" s="5"/>
      <c r="M19" s="5"/>
    </row>
    <row r="20" spans="1:23" x14ac:dyDescent="0.3">
      <c r="A20" s="25" t="s">
        <v>397</v>
      </c>
      <c r="B20" s="17"/>
      <c r="C20" s="5" t="s">
        <v>511</v>
      </c>
      <c r="D20" s="5"/>
      <c r="E20" s="5"/>
      <c r="F20" s="5"/>
      <c r="G20" s="5"/>
      <c r="H20" s="5"/>
      <c r="I20" s="5"/>
      <c r="J20" s="5"/>
      <c r="K20" s="5"/>
      <c r="L20" s="5"/>
      <c r="M20" s="5"/>
    </row>
    <row r="21" spans="1:23" x14ac:dyDescent="0.3">
      <c r="A21" s="25" t="s">
        <v>398</v>
      </c>
      <c r="B21" s="62" t="s">
        <v>310</v>
      </c>
      <c r="C21" s="21" t="s">
        <v>4</v>
      </c>
      <c r="D21" s="21" t="s">
        <v>1077</v>
      </c>
      <c r="E21" s="21" t="s">
        <v>1078</v>
      </c>
      <c r="F21" s="21" t="s">
        <v>1079</v>
      </c>
      <c r="G21" s="21" t="s">
        <v>1080</v>
      </c>
      <c r="H21" s="21" t="s">
        <v>1081</v>
      </c>
      <c r="I21" s="21" t="s">
        <v>1082</v>
      </c>
      <c r="J21" s="5"/>
      <c r="K21" s="5"/>
      <c r="L21" s="5"/>
      <c r="M21" s="5"/>
    </row>
    <row r="22" spans="1:23" x14ac:dyDescent="0.3">
      <c r="A22" s="28" t="s">
        <v>994</v>
      </c>
      <c r="B22" s="11"/>
      <c r="C22" s="6">
        <v>30</v>
      </c>
      <c r="D22" s="6">
        <v>0</v>
      </c>
      <c r="E22" s="6">
        <v>0</v>
      </c>
      <c r="F22" s="6">
        <v>0</v>
      </c>
      <c r="G22" s="6">
        <v>0</v>
      </c>
      <c r="H22" s="6">
        <v>0</v>
      </c>
      <c r="I22" s="6">
        <v>0</v>
      </c>
      <c r="J22" s="5"/>
      <c r="K22" s="5"/>
      <c r="L22" s="5"/>
      <c r="M22" s="5"/>
    </row>
    <row r="23" spans="1:23" x14ac:dyDescent="0.3">
      <c r="A23" s="27" t="s">
        <v>978</v>
      </c>
      <c r="B23" s="17"/>
      <c r="C23" s="5" t="s">
        <v>511</v>
      </c>
      <c r="D23" s="5"/>
      <c r="E23" s="5"/>
      <c r="F23" s="5"/>
      <c r="G23" s="5"/>
      <c r="H23" s="5"/>
      <c r="I23" s="5"/>
      <c r="J23" s="5"/>
      <c r="K23" s="5"/>
      <c r="L23" s="5"/>
      <c r="M23" s="5"/>
    </row>
    <row r="24" spans="1:23" x14ac:dyDescent="0.3">
      <c r="A24" s="27" t="s">
        <v>979</v>
      </c>
      <c r="B24" s="62" t="s">
        <v>313</v>
      </c>
      <c r="C24" s="21" t="s">
        <v>11</v>
      </c>
      <c r="D24" s="21" t="s">
        <v>12</v>
      </c>
      <c r="E24" s="21" t="s">
        <v>13</v>
      </c>
      <c r="F24" s="21" t="s">
        <v>14</v>
      </c>
      <c r="G24" s="21" t="s">
        <v>15</v>
      </c>
      <c r="H24" s="21" t="s">
        <v>16</v>
      </c>
      <c r="I24" s="21" t="s">
        <v>1599</v>
      </c>
      <c r="J24" s="21" t="s">
        <v>2381</v>
      </c>
      <c r="K24" s="5"/>
      <c r="L24" s="5"/>
      <c r="M24" s="5"/>
    </row>
    <row r="25" spans="1:23" x14ac:dyDescent="0.3">
      <c r="A25" s="27" t="s">
        <v>980</v>
      </c>
      <c r="B25" s="11"/>
      <c r="C25" s="6">
        <v>100</v>
      </c>
      <c r="D25" s="6" t="s">
        <v>17</v>
      </c>
      <c r="E25" s="6" t="s">
        <v>17</v>
      </c>
      <c r="F25" s="6" t="s">
        <v>17</v>
      </c>
      <c r="G25" s="6" t="s">
        <v>17</v>
      </c>
      <c r="H25" s="6" t="s">
        <v>17</v>
      </c>
      <c r="I25" s="6" t="s">
        <v>17</v>
      </c>
      <c r="J25" s="6" t="s">
        <v>17</v>
      </c>
      <c r="K25" s="5"/>
      <c r="L25" s="5"/>
      <c r="M25" s="5"/>
    </row>
    <row r="26" spans="1:23" x14ac:dyDescent="0.3">
      <c r="A26" s="27" t="s">
        <v>981</v>
      </c>
      <c r="B26" s="17"/>
      <c r="C26" s="5" t="s">
        <v>511</v>
      </c>
      <c r="D26" s="5"/>
      <c r="E26" s="5"/>
      <c r="F26" s="10"/>
      <c r="G26" s="5"/>
      <c r="H26" s="5"/>
      <c r="I26" s="5"/>
      <c r="J26" s="5"/>
      <c r="K26" s="5"/>
      <c r="L26" s="5"/>
      <c r="M26" s="5"/>
      <c r="Q26" s="3"/>
      <c r="R26" s="3"/>
      <c r="S26" s="3"/>
      <c r="T26" s="3"/>
      <c r="U26" s="3"/>
      <c r="V26" s="3"/>
      <c r="W26" s="3"/>
    </row>
    <row r="27" spans="1:23" x14ac:dyDescent="0.3">
      <c r="A27" s="27" t="s">
        <v>982</v>
      </c>
      <c r="B27" s="62" t="s">
        <v>18</v>
      </c>
      <c r="C27" s="21" t="s">
        <v>19</v>
      </c>
      <c r="D27" s="21" t="s">
        <v>1083</v>
      </c>
      <c r="E27" s="21" t="s">
        <v>20</v>
      </c>
      <c r="F27" s="10"/>
      <c r="G27" s="5"/>
      <c r="H27" s="5"/>
      <c r="I27" s="5"/>
      <c r="J27" s="5"/>
      <c r="K27" s="5"/>
      <c r="L27" s="5"/>
      <c r="M27" s="5"/>
    </row>
    <row r="28" spans="1:23" x14ac:dyDescent="0.3">
      <c r="A28" s="27" t="s">
        <v>983</v>
      </c>
      <c r="B28" s="11" t="s">
        <v>1518</v>
      </c>
      <c r="C28" s="54">
        <v>80</v>
      </c>
      <c r="D28" s="116">
        <v>305</v>
      </c>
      <c r="E28" s="6">
        <v>2015</v>
      </c>
      <c r="F28" s="4"/>
      <c r="G28" s="5"/>
      <c r="H28" s="5"/>
      <c r="I28" s="5"/>
      <c r="J28" s="5"/>
      <c r="K28" s="5"/>
      <c r="L28" s="5"/>
      <c r="M28" s="5"/>
      <c r="N28" s="119"/>
      <c r="O28" s="119"/>
      <c r="P28" s="23"/>
    </row>
    <row r="29" spans="1:23" x14ac:dyDescent="0.3">
      <c r="A29" s="44" t="s">
        <v>2384</v>
      </c>
      <c r="B29" s="17"/>
      <c r="C29" s="5" t="s">
        <v>511</v>
      </c>
      <c r="D29" s="5"/>
      <c r="E29" s="5"/>
      <c r="F29" s="5"/>
      <c r="G29" s="5"/>
      <c r="H29" s="5"/>
      <c r="I29" s="5"/>
      <c r="J29" s="5"/>
      <c r="K29" s="5"/>
      <c r="L29" s="5"/>
      <c r="M29" s="5"/>
      <c r="P29" s="23"/>
    </row>
    <row r="30" spans="1:23" x14ac:dyDescent="0.3">
      <c r="A30" s="55" t="s">
        <v>1517</v>
      </c>
      <c r="B30" s="62" t="s">
        <v>21</v>
      </c>
      <c r="C30" s="21" t="s">
        <v>451</v>
      </c>
      <c r="D30" s="21" t="s">
        <v>22</v>
      </c>
      <c r="E30" s="21" t="s">
        <v>1084</v>
      </c>
      <c r="F30" s="5"/>
      <c r="G30" s="5"/>
      <c r="H30" s="5"/>
      <c r="I30" s="5"/>
      <c r="J30" s="5"/>
      <c r="K30" s="5"/>
      <c r="L30" s="5"/>
      <c r="M30" s="5"/>
      <c r="P30" s="23"/>
    </row>
    <row r="31" spans="1:23" x14ac:dyDescent="0.3">
      <c r="A31" s="55" t="s">
        <v>19</v>
      </c>
      <c r="B31" s="11" t="s">
        <v>506</v>
      </c>
      <c r="C31" s="6">
        <v>7</v>
      </c>
      <c r="D31" s="6">
        <v>5.0000000000000001E-4</v>
      </c>
      <c r="E31" s="6" t="s">
        <v>2</v>
      </c>
      <c r="F31" s="5"/>
      <c r="G31" s="5"/>
      <c r="H31" s="5"/>
      <c r="I31" s="5"/>
      <c r="J31" s="5"/>
      <c r="K31" s="5"/>
      <c r="L31" s="5"/>
      <c r="M31" s="5"/>
      <c r="P31" s="23"/>
    </row>
    <row r="32" spans="1:23" x14ac:dyDescent="0.3">
      <c r="A32" s="56">
        <v>44197</v>
      </c>
      <c r="B32" s="17"/>
      <c r="C32" s="5" t="s">
        <v>511</v>
      </c>
      <c r="D32" s="5"/>
      <c r="E32" s="5"/>
      <c r="F32" s="5"/>
      <c r="G32" s="5"/>
      <c r="H32" s="5"/>
      <c r="I32" s="5"/>
      <c r="J32" s="5"/>
      <c r="K32" s="5"/>
      <c r="L32" s="5"/>
      <c r="M32" s="5"/>
      <c r="O32" s="23"/>
      <c r="P32" s="23"/>
    </row>
    <row r="33" spans="1:16" x14ac:dyDescent="0.3">
      <c r="A33" s="117"/>
      <c r="B33" s="62" t="s">
        <v>23</v>
      </c>
      <c r="C33" s="21" t="s">
        <v>24</v>
      </c>
      <c r="D33" s="21" t="s">
        <v>24</v>
      </c>
      <c r="E33" s="21" t="s">
        <v>24</v>
      </c>
      <c r="F33" s="21" t="s">
        <v>24</v>
      </c>
      <c r="G33" s="21" t="s">
        <v>24</v>
      </c>
      <c r="H33" s="21" t="s">
        <v>24</v>
      </c>
      <c r="I33" s="21" t="s">
        <v>24</v>
      </c>
      <c r="J33" s="5" t="s">
        <v>24</v>
      </c>
      <c r="K33" s="5" t="s">
        <v>24</v>
      </c>
      <c r="L33" s="5" t="s">
        <v>24</v>
      </c>
      <c r="M33" s="5"/>
      <c r="O33" s="23"/>
      <c r="P33" s="23"/>
    </row>
    <row r="34" spans="1:16" x14ac:dyDescent="0.3">
      <c r="A34" s="57">
        <v>44562</v>
      </c>
      <c r="B34" s="11" t="s">
        <v>354</v>
      </c>
      <c r="C34" s="116">
        <v>80</v>
      </c>
      <c r="D34" s="116">
        <v>80.5</v>
      </c>
      <c r="E34" s="116">
        <v>81</v>
      </c>
      <c r="F34" s="116">
        <v>82</v>
      </c>
      <c r="G34" s="116">
        <v>85</v>
      </c>
      <c r="H34" s="116">
        <v>90</v>
      </c>
      <c r="I34" s="116">
        <v>122.5</v>
      </c>
      <c r="J34" s="5"/>
      <c r="K34" s="5"/>
      <c r="L34" s="5"/>
      <c r="M34" s="5"/>
    </row>
    <row r="35" spans="1:16" x14ac:dyDescent="0.3">
      <c r="A35" s="76">
        <f>A32-DATEVALUE("1/1/"&amp;A38)+1</f>
        <v>1</v>
      </c>
      <c r="B35" s="17"/>
      <c r="C35" s="5" t="s">
        <v>511</v>
      </c>
      <c r="D35" s="5"/>
      <c r="E35" s="5"/>
      <c r="F35" s="5"/>
      <c r="G35" s="5"/>
      <c r="H35" s="5"/>
      <c r="I35" s="5"/>
      <c r="J35" s="5"/>
      <c r="K35" s="5"/>
      <c r="L35" s="5"/>
      <c r="M35" s="5"/>
    </row>
    <row r="36" spans="1:16" x14ac:dyDescent="0.3">
      <c r="A36" s="76">
        <f>A34-DATEVALUE("1/1/"&amp;A38)+1</f>
        <v>366</v>
      </c>
      <c r="B36" s="62" t="s">
        <v>25</v>
      </c>
      <c r="C36" s="21" t="s">
        <v>26</v>
      </c>
      <c r="D36" s="21" t="s">
        <v>26</v>
      </c>
      <c r="E36" s="21" t="s">
        <v>26</v>
      </c>
      <c r="F36" s="21" t="s">
        <v>26</v>
      </c>
      <c r="G36" s="21" t="s">
        <v>26</v>
      </c>
      <c r="H36" s="21" t="s">
        <v>26</v>
      </c>
      <c r="I36" s="21" t="s">
        <v>26</v>
      </c>
      <c r="J36" s="5" t="s">
        <v>26</v>
      </c>
      <c r="K36" s="5" t="s">
        <v>26</v>
      </c>
      <c r="L36" s="5"/>
      <c r="M36" s="5"/>
    </row>
    <row r="37" spans="1:16" x14ac:dyDescent="0.3">
      <c r="A37" s="77" t="s">
        <v>1775</v>
      </c>
      <c r="B37" s="11" t="s">
        <v>452</v>
      </c>
      <c r="C37" s="116">
        <v>0.25</v>
      </c>
      <c r="D37" s="116">
        <v>0.25</v>
      </c>
      <c r="E37" s="116">
        <v>1</v>
      </c>
      <c r="F37" s="116">
        <v>5</v>
      </c>
      <c r="G37" s="116">
        <v>10</v>
      </c>
      <c r="H37" s="116">
        <v>15</v>
      </c>
      <c r="I37" s="116">
        <v>20</v>
      </c>
      <c r="J37" s="5"/>
      <c r="K37" s="5"/>
      <c r="L37" s="5"/>
      <c r="M37" s="5"/>
    </row>
    <row r="38" spans="1:16" x14ac:dyDescent="0.3">
      <c r="A38" s="77">
        <f>YEAR(A32)</f>
        <v>2021</v>
      </c>
      <c r="B38" s="17"/>
      <c r="C38" s="5" t="s">
        <v>511</v>
      </c>
      <c r="D38" s="5"/>
      <c r="E38" s="5"/>
      <c r="F38" s="5"/>
      <c r="G38" s="5"/>
      <c r="H38" s="5"/>
      <c r="I38" s="5"/>
      <c r="J38" s="5"/>
      <c r="K38" s="5"/>
      <c r="L38" s="5"/>
      <c r="M38" s="5"/>
    </row>
    <row r="39" spans="1:16" x14ac:dyDescent="0.3">
      <c r="A39" t="s">
        <v>1673</v>
      </c>
      <c r="B39" s="62" t="s">
        <v>27</v>
      </c>
      <c r="C39" s="21" t="s">
        <v>28</v>
      </c>
      <c r="D39" s="21" t="s">
        <v>28</v>
      </c>
      <c r="E39" s="21" t="s">
        <v>28</v>
      </c>
      <c r="F39" s="21" t="s">
        <v>28</v>
      </c>
      <c r="G39" s="21" t="s">
        <v>28</v>
      </c>
      <c r="H39" s="21" t="s">
        <v>28</v>
      </c>
      <c r="I39" s="21" t="s">
        <v>28</v>
      </c>
      <c r="J39" s="5" t="s">
        <v>28</v>
      </c>
      <c r="K39" s="5" t="s">
        <v>28</v>
      </c>
      <c r="L39" s="5" t="s">
        <v>28</v>
      </c>
      <c r="M39" s="5"/>
    </row>
    <row r="40" spans="1:16" x14ac:dyDescent="0.3">
      <c r="A40" s="66" t="s">
        <v>1672</v>
      </c>
      <c r="B40" s="11" t="s">
        <v>453</v>
      </c>
      <c r="C40" s="6">
        <v>0.7</v>
      </c>
      <c r="D40" s="6">
        <v>0.7</v>
      </c>
      <c r="E40" s="6">
        <v>0.7</v>
      </c>
      <c r="F40" s="6">
        <v>0.7</v>
      </c>
      <c r="G40" s="6">
        <v>0.9</v>
      </c>
      <c r="H40" s="6">
        <v>0.9</v>
      </c>
      <c r="I40" s="6">
        <v>0.9</v>
      </c>
      <c r="J40" s="5"/>
      <c r="K40" s="5"/>
      <c r="L40" s="5"/>
      <c r="M40" s="5"/>
    </row>
    <row r="41" spans="1:16" x14ac:dyDescent="0.3">
      <c r="B41" s="17"/>
      <c r="C41" s="5" t="s">
        <v>511</v>
      </c>
      <c r="D41" s="5"/>
      <c r="E41" s="5"/>
      <c r="F41" s="5"/>
      <c r="G41" s="5"/>
      <c r="H41" s="5"/>
      <c r="I41" s="5"/>
      <c r="J41" s="5"/>
      <c r="K41" s="5"/>
      <c r="L41" s="5"/>
      <c r="M41" s="5"/>
    </row>
    <row r="42" spans="1:16" x14ac:dyDescent="0.3">
      <c r="B42" s="62" t="s">
        <v>237</v>
      </c>
      <c r="C42" s="21" t="s">
        <v>110</v>
      </c>
      <c r="D42" s="21" t="s">
        <v>111</v>
      </c>
      <c r="E42" s="21" t="s">
        <v>112</v>
      </c>
      <c r="F42" s="5" t="s">
        <v>113</v>
      </c>
      <c r="G42" s="5" t="s">
        <v>114</v>
      </c>
      <c r="H42" s="5" t="s">
        <v>115</v>
      </c>
      <c r="I42" s="5" t="s">
        <v>116</v>
      </c>
      <c r="J42" s="5" t="s">
        <v>117</v>
      </c>
      <c r="K42" s="5" t="s">
        <v>121</v>
      </c>
      <c r="L42" s="5" t="s">
        <v>122</v>
      </c>
      <c r="M42" s="5"/>
    </row>
    <row r="43" spans="1:16" x14ac:dyDescent="0.3">
      <c r="B43" s="11" t="s">
        <v>454</v>
      </c>
      <c r="C43" s="6" t="s">
        <v>2</v>
      </c>
      <c r="D43" s="6" t="s">
        <v>2</v>
      </c>
      <c r="E43" s="6" t="s">
        <v>2</v>
      </c>
      <c r="F43" s="5"/>
      <c r="G43" s="5"/>
      <c r="H43" s="5"/>
      <c r="I43" s="5"/>
      <c r="J43" s="5"/>
      <c r="K43" s="5"/>
      <c r="L43" s="5"/>
      <c r="M43" s="5"/>
    </row>
    <row r="44" spans="1:16" x14ac:dyDescent="0.3">
      <c r="B44" s="11" t="s">
        <v>455</v>
      </c>
      <c r="C44" s="6" t="s">
        <v>2</v>
      </c>
      <c r="D44" s="6" t="s">
        <v>2</v>
      </c>
      <c r="E44" s="6" t="s">
        <v>2</v>
      </c>
      <c r="F44" s="5"/>
      <c r="G44" s="5"/>
      <c r="H44" s="5"/>
      <c r="I44" s="5"/>
      <c r="J44" s="5"/>
      <c r="K44" s="5"/>
      <c r="L44" s="5"/>
      <c r="M44" s="5"/>
    </row>
    <row r="45" spans="1:16" x14ac:dyDescent="0.3">
      <c r="A45" s="25" t="s">
        <v>383</v>
      </c>
      <c r="B45" s="11" t="s">
        <v>456</v>
      </c>
      <c r="C45" s="6" t="s">
        <v>17</v>
      </c>
      <c r="D45" s="6" t="s">
        <v>17</v>
      </c>
      <c r="E45" s="6" t="s">
        <v>17</v>
      </c>
      <c r="F45" s="5"/>
      <c r="G45" s="5"/>
      <c r="H45" s="5"/>
      <c r="I45" s="5"/>
      <c r="J45" s="5"/>
      <c r="K45" s="5"/>
      <c r="L45" s="5"/>
      <c r="M45" s="5"/>
    </row>
    <row r="46" spans="1:16" x14ac:dyDescent="0.3">
      <c r="B46" s="17"/>
      <c r="C46" s="5" t="s">
        <v>511</v>
      </c>
      <c r="D46" s="5"/>
      <c r="E46" s="5"/>
      <c r="F46" s="5"/>
      <c r="G46" s="5"/>
      <c r="H46" s="5"/>
      <c r="I46" s="5"/>
      <c r="J46" s="5"/>
      <c r="K46" s="5"/>
      <c r="L46" s="5"/>
      <c r="M46" s="5"/>
    </row>
    <row r="47" spans="1:16" x14ac:dyDescent="0.3">
      <c r="B47" s="62" t="s">
        <v>238</v>
      </c>
      <c r="C47" s="21" t="s">
        <v>29</v>
      </c>
      <c r="D47" s="21" t="s">
        <v>104</v>
      </c>
      <c r="E47" s="21" t="s">
        <v>105</v>
      </c>
      <c r="F47" s="21" t="s">
        <v>106</v>
      </c>
      <c r="G47" s="21" t="s">
        <v>107</v>
      </c>
      <c r="H47" s="21" t="s">
        <v>108</v>
      </c>
      <c r="I47" s="5" t="s">
        <v>109</v>
      </c>
      <c r="J47" s="5" t="s">
        <v>118</v>
      </c>
      <c r="K47" s="5" t="s">
        <v>119</v>
      </c>
      <c r="L47" s="5" t="s">
        <v>120</v>
      </c>
      <c r="M47" s="5"/>
    </row>
    <row r="48" spans="1:16" x14ac:dyDescent="0.3">
      <c r="B48" s="11" t="s">
        <v>460</v>
      </c>
      <c r="C48" s="6">
        <v>2</v>
      </c>
      <c r="D48" s="6">
        <v>87</v>
      </c>
      <c r="E48" s="6">
        <v>181</v>
      </c>
      <c r="F48" s="6">
        <v>215</v>
      </c>
      <c r="G48" s="6">
        <v>228</v>
      </c>
      <c r="H48" s="6">
        <v>399</v>
      </c>
      <c r="I48" s="5"/>
      <c r="J48" s="5"/>
      <c r="K48" s="5"/>
      <c r="L48" s="5"/>
      <c r="M48" s="5"/>
    </row>
    <row r="49" spans="2:13" x14ac:dyDescent="0.3">
      <c r="B49" s="11" t="s">
        <v>459</v>
      </c>
      <c r="C49" s="6">
        <v>84</v>
      </c>
      <c r="D49" s="6">
        <v>178</v>
      </c>
      <c r="E49" s="6">
        <v>212</v>
      </c>
      <c r="F49" s="6">
        <v>225</v>
      </c>
      <c r="G49" s="6">
        <v>396</v>
      </c>
      <c r="H49" s="6">
        <v>406</v>
      </c>
      <c r="I49" s="5"/>
      <c r="J49" s="5"/>
      <c r="K49" s="5"/>
      <c r="L49" s="5"/>
      <c r="M49" s="5"/>
    </row>
    <row r="50" spans="2:13" x14ac:dyDescent="0.3">
      <c r="B50" s="11" t="s">
        <v>1246</v>
      </c>
      <c r="C50" s="6">
        <v>0</v>
      </c>
      <c r="D50" s="6">
        <v>84</v>
      </c>
      <c r="E50" s="6">
        <v>178</v>
      </c>
      <c r="F50" s="6">
        <v>0</v>
      </c>
      <c r="G50" s="6">
        <v>212</v>
      </c>
      <c r="H50" s="6">
        <v>0</v>
      </c>
      <c r="I50" s="5"/>
      <c r="J50" s="5"/>
      <c r="K50" s="5"/>
      <c r="L50" s="5"/>
      <c r="M50" s="5"/>
    </row>
    <row r="51" spans="2:13" x14ac:dyDescent="0.3">
      <c r="B51" s="11" t="s">
        <v>458</v>
      </c>
      <c r="C51" s="6">
        <v>87</v>
      </c>
      <c r="D51" s="6">
        <v>181</v>
      </c>
      <c r="E51" s="6">
        <v>228</v>
      </c>
      <c r="F51" s="6">
        <v>98</v>
      </c>
      <c r="G51" s="6">
        <v>0</v>
      </c>
      <c r="H51" s="6">
        <v>239</v>
      </c>
      <c r="I51" s="5"/>
      <c r="J51" s="5"/>
      <c r="K51" s="5"/>
      <c r="L51" s="5"/>
      <c r="M51" s="5"/>
    </row>
    <row r="52" spans="2:13" x14ac:dyDescent="0.3">
      <c r="B52" s="11" t="s">
        <v>457</v>
      </c>
      <c r="C52" s="6">
        <v>1</v>
      </c>
      <c r="D52" s="6">
        <v>1</v>
      </c>
      <c r="E52" s="6">
        <v>1</v>
      </c>
      <c r="F52" s="6">
        <v>1</v>
      </c>
      <c r="G52" s="6">
        <v>1</v>
      </c>
      <c r="H52" s="6">
        <v>1</v>
      </c>
      <c r="I52" s="5"/>
      <c r="J52" s="5"/>
      <c r="K52" s="5"/>
      <c r="L52" s="5"/>
      <c r="M52" s="5"/>
    </row>
    <row r="53" spans="2:13" x14ac:dyDescent="0.3">
      <c r="B53" s="11" t="s">
        <v>461</v>
      </c>
      <c r="C53" s="118">
        <v>5.1999999999999995E-4</v>
      </c>
      <c r="D53" s="118">
        <v>6.0000000000000002E-5</v>
      </c>
      <c r="E53" s="118">
        <v>8.8999999999999995E-4</v>
      </c>
      <c r="F53" s="118">
        <v>1.33E-3</v>
      </c>
      <c r="G53" s="118">
        <v>0</v>
      </c>
      <c r="H53" s="118">
        <v>0</v>
      </c>
      <c r="I53" s="120"/>
      <c r="J53" s="120"/>
      <c r="K53" s="120"/>
      <c r="L53" s="5"/>
      <c r="M53" s="5"/>
    </row>
    <row r="54" spans="2:13" x14ac:dyDescent="0.3">
      <c r="B54" s="11" t="s">
        <v>462</v>
      </c>
      <c r="C54" s="118">
        <v>5.1999999999999995E-4</v>
      </c>
      <c r="D54" s="118">
        <v>6.0000000000000002E-5</v>
      </c>
      <c r="E54" s="118">
        <v>8.8999999999999995E-4</v>
      </c>
      <c r="F54" s="118">
        <v>1.33E-3</v>
      </c>
      <c r="G54" s="118">
        <v>0</v>
      </c>
      <c r="H54" s="118">
        <v>0</v>
      </c>
      <c r="I54" s="120"/>
      <c r="J54" s="120"/>
      <c r="K54" s="120"/>
      <c r="L54" s="5"/>
      <c r="M54" s="5"/>
    </row>
    <row r="55" spans="2:13" x14ac:dyDescent="0.3">
      <c r="B55" s="17"/>
      <c r="C55" s="5" t="s">
        <v>511</v>
      </c>
      <c r="D55" s="5"/>
      <c r="E55" s="5"/>
      <c r="F55" s="5"/>
      <c r="G55" s="5"/>
      <c r="H55" s="5"/>
      <c r="I55" s="5"/>
      <c r="J55" s="5"/>
      <c r="K55" s="5"/>
      <c r="L55" s="5"/>
      <c r="M55" s="5"/>
    </row>
    <row r="56" spans="2:13" x14ac:dyDescent="0.3">
      <c r="B56" s="62" t="s">
        <v>30</v>
      </c>
      <c r="C56" s="21" t="s">
        <v>110</v>
      </c>
      <c r="D56" s="21" t="s">
        <v>111</v>
      </c>
      <c r="E56" s="21" t="s">
        <v>112</v>
      </c>
      <c r="F56" s="5" t="s">
        <v>113</v>
      </c>
      <c r="G56" s="5" t="s">
        <v>114</v>
      </c>
      <c r="H56" s="5" t="s">
        <v>115</v>
      </c>
      <c r="I56" s="5" t="s">
        <v>116</v>
      </c>
      <c r="J56" s="5" t="s">
        <v>117</v>
      </c>
      <c r="K56" s="5" t="s">
        <v>121</v>
      </c>
      <c r="L56" s="5" t="s">
        <v>122</v>
      </c>
      <c r="M56" s="5"/>
    </row>
    <row r="57" spans="2:13" x14ac:dyDescent="0.3">
      <c r="B57" s="11" t="s">
        <v>543</v>
      </c>
      <c r="C57" s="6">
        <v>45.2</v>
      </c>
      <c r="D57" s="6">
        <v>45.2</v>
      </c>
      <c r="E57" s="6">
        <v>45.2</v>
      </c>
      <c r="F57" s="5"/>
      <c r="G57" s="5"/>
      <c r="H57" s="5"/>
      <c r="I57" s="5"/>
      <c r="J57" s="5"/>
      <c r="K57" s="5"/>
      <c r="L57" s="5"/>
      <c r="M57" s="5"/>
    </row>
    <row r="58" spans="2:13" x14ac:dyDescent="0.3">
      <c r="B58" s="11" t="s">
        <v>542</v>
      </c>
      <c r="C58" s="6">
        <v>122.2</v>
      </c>
      <c r="D58" s="6">
        <v>122.2</v>
      </c>
      <c r="E58" s="6">
        <v>122.2</v>
      </c>
      <c r="F58" s="5"/>
      <c r="G58" s="5"/>
      <c r="H58" s="5"/>
      <c r="I58" s="5"/>
      <c r="J58" s="5"/>
      <c r="K58" s="5"/>
      <c r="L58" s="5"/>
      <c r="M58" s="5"/>
    </row>
    <row r="59" spans="2:13" x14ac:dyDescent="0.3">
      <c r="B59" s="11" t="s">
        <v>544</v>
      </c>
      <c r="C59" s="6">
        <v>-3.7</v>
      </c>
      <c r="D59" s="6">
        <v>-8.1999999999999993</v>
      </c>
      <c r="E59" s="6">
        <v>-8</v>
      </c>
      <c r="F59" s="5"/>
      <c r="G59" s="5"/>
      <c r="H59" s="5"/>
      <c r="I59" s="5"/>
      <c r="J59" s="5"/>
      <c r="K59" s="5"/>
      <c r="L59" s="5"/>
      <c r="M59" s="5"/>
    </row>
    <row r="60" spans="2:13" x14ac:dyDescent="0.3">
      <c r="B60" s="11" t="s">
        <v>545</v>
      </c>
      <c r="C60" s="6">
        <v>1</v>
      </c>
      <c r="D60" s="6">
        <v>2</v>
      </c>
      <c r="E60" s="6">
        <v>5</v>
      </c>
      <c r="F60" s="5"/>
      <c r="G60" s="5"/>
      <c r="H60" s="5"/>
      <c r="I60" s="5"/>
      <c r="J60" s="5"/>
      <c r="K60" s="5"/>
      <c r="L60" s="5"/>
      <c r="M60" s="5"/>
    </row>
    <row r="61" spans="2:13" x14ac:dyDescent="0.3">
      <c r="B61" s="11" t="s">
        <v>546</v>
      </c>
      <c r="C61" s="6">
        <v>1</v>
      </c>
      <c r="D61" s="6">
        <v>4</v>
      </c>
      <c r="E61" s="6">
        <v>6</v>
      </c>
      <c r="F61" s="5"/>
      <c r="G61" s="5"/>
      <c r="H61" s="5"/>
      <c r="I61" s="5"/>
      <c r="J61" s="5"/>
      <c r="K61" s="5"/>
      <c r="L61" s="5"/>
      <c r="M61" s="5"/>
    </row>
    <row r="62" spans="2:13" x14ac:dyDescent="0.3">
      <c r="B62" s="11" t="s">
        <v>547</v>
      </c>
      <c r="C62" s="6">
        <v>1</v>
      </c>
      <c r="D62" s="6">
        <v>3</v>
      </c>
      <c r="E62" s="6">
        <v>5</v>
      </c>
      <c r="F62" s="5"/>
      <c r="G62" s="5"/>
      <c r="H62" s="5"/>
      <c r="I62" s="5"/>
      <c r="J62" s="5"/>
      <c r="K62" s="5"/>
      <c r="L62" s="5"/>
      <c r="M62" s="5"/>
    </row>
    <row r="63" spans="2:13" x14ac:dyDescent="0.3">
      <c r="B63" s="17"/>
      <c r="C63" s="5" t="s">
        <v>511</v>
      </c>
      <c r="D63" s="5"/>
      <c r="E63" s="5"/>
      <c r="F63" s="5"/>
      <c r="G63" s="5"/>
      <c r="H63" s="5"/>
      <c r="I63" s="5"/>
      <c r="J63" s="5"/>
      <c r="K63" s="5"/>
      <c r="L63" s="5"/>
      <c r="M63" s="5"/>
    </row>
    <row r="64" spans="2:13" x14ac:dyDescent="0.3">
      <c r="B64" s="62" t="s">
        <v>31</v>
      </c>
      <c r="C64" s="21" t="s">
        <v>110</v>
      </c>
      <c r="D64" s="21" t="s">
        <v>111</v>
      </c>
      <c r="E64" s="21" t="s">
        <v>112</v>
      </c>
      <c r="F64" s="5" t="s">
        <v>113</v>
      </c>
      <c r="G64" s="5" t="s">
        <v>114</v>
      </c>
      <c r="H64" s="5" t="s">
        <v>115</v>
      </c>
      <c r="I64" s="5" t="s">
        <v>116</v>
      </c>
      <c r="J64" s="5" t="s">
        <v>117</v>
      </c>
      <c r="K64" s="5" t="s">
        <v>121</v>
      </c>
      <c r="L64" s="5" t="s">
        <v>122</v>
      </c>
      <c r="M64" s="5"/>
    </row>
    <row r="65" spans="2:13" x14ac:dyDescent="0.3">
      <c r="B65" s="11" t="s">
        <v>340</v>
      </c>
      <c r="C65" s="6">
        <v>8</v>
      </c>
      <c r="D65" s="6">
        <v>8</v>
      </c>
      <c r="E65" s="6">
        <v>8</v>
      </c>
      <c r="F65" s="5"/>
      <c r="G65" s="5"/>
      <c r="H65" s="5"/>
      <c r="I65" s="5"/>
      <c r="J65" s="5"/>
      <c r="K65" s="5"/>
      <c r="L65" s="5"/>
      <c r="M65" s="5"/>
    </row>
    <row r="66" spans="2:13" x14ac:dyDescent="0.3">
      <c r="B66" s="11" t="s">
        <v>341</v>
      </c>
      <c r="C66" s="6">
        <v>0</v>
      </c>
      <c r="D66" s="6">
        <v>0</v>
      </c>
      <c r="E66" s="6">
        <v>0</v>
      </c>
      <c r="F66" s="5"/>
      <c r="G66" s="5"/>
      <c r="H66" s="5"/>
      <c r="I66" s="5"/>
      <c r="J66" s="5"/>
      <c r="K66" s="5"/>
      <c r="L66" s="5"/>
      <c r="M66" s="5"/>
    </row>
    <row r="67" spans="2:13" x14ac:dyDescent="0.3">
      <c r="B67" s="11" t="s">
        <v>342</v>
      </c>
      <c r="C67" s="6" t="s">
        <v>1086</v>
      </c>
      <c r="D67" s="6" t="s">
        <v>2624</v>
      </c>
      <c r="E67" s="6" t="s">
        <v>2624</v>
      </c>
      <c r="F67" s="5"/>
      <c r="G67" s="5"/>
      <c r="H67" s="5"/>
      <c r="I67" s="5"/>
      <c r="J67" s="5"/>
      <c r="K67" s="5"/>
      <c r="L67" s="5"/>
      <c r="M67" s="5"/>
    </row>
    <row r="68" spans="2:13" x14ac:dyDescent="0.3">
      <c r="B68" s="11" t="s">
        <v>343</v>
      </c>
      <c r="C68" s="6" t="s">
        <v>1087</v>
      </c>
      <c r="D68" s="6" t="s">
        <v>2625</v>
      </c>
      <c r="E68" s="6" t="s">
        <v>2625</v>
      </c>
      <c r="F68" s="5"/>
      <c r="G68" s="5"/>
      <c r="H68" s="5"/>
      <c r="I68" s="5"/>
      <c r="J68" s="5"/>
      <c r="K68" s="5"/>
      <c r="L68" s="5"/>
      <c r="M68" s="5"/>
    </row>
    <row r="69" spans="2:13" x14ac:dyDescent="0.3">
      <c r="B69" s="17"/>
      <c r="C69" s="5" t="s">
        <v>511</v>
      </c>
      <c r="D69" s="5"/>
      <c r="E69" s="5"/>
      <c r="F69" s="5"/>
      <c r="G69" s="5"/>
      <c r="H69" s="5"/>
      <c r="I69" s="5"/>
      <c r="J69" s="5"/>
      <c r="K69" s="5"/>
      <c r="L69" s="5"/>
      <c r="M69" s="5"/>
    </row>
    <row r="70" spans="2:13" x14ac:dyDescent="0.3">
      <c r="B70" s="62" t="s">
        <v>333</v>
      </c>
      <c r="C70" s="21" t="s">
        <v>110</v>
      </c>
      <c r="D70" s="21" t="s">
        <v>111</v>
      </c>
      <c r="E70" s="21" t="s">
        <v>112</v>
      </c>
      <c r="F70" s="5" t="s">
        <v>113</v>
      </c>
      <c r="G70" s="5" t="s">
        <v>114</v>
      </c>
      <c r="H70" s="5" t="s">
        <v>115</v>
      </c>
      <c r="I70" s="5" t="s">
        <v>116</v>
      </c>
      <c r="J70" s="5" t="s">
        <v>117</v>
      </c>
      <c r="K70" s="5" t="s">
        <v>121</v>
      </c>
      <c r="L70" s="5" t="s">
        <v>122</v>
      </c>
      <c r="M70" s="5"/>
    </row>
    <row r="71" spans="2:13" x14ac:dyDescent="0.3">
      <c r="B71" s="11" t="s">
        <v>335</v>
      </c>
      <c r="C71" s="6" t="s">
        <v>2</v>
      </c>
      <c r="D71" s="6" t="s">
        <v>2</v>
      </c>
      <c r="E71" s="6" t="s">
        <v>2</v>
      </c>
      <c r="F71" s="5"/>
      <c r="G71" s="5"/>
      <c r="H71" s="5"/>
      <c r="I71" s="5"/>
      <c r="J71" s="5"/>
      <c r="K71" s="5"/>
      <c r="L71" s="5"/>
      <c r="M71" s="5"/>
    </row>
    <row r="72" spans="2:13" x14ac:dyDescent="0.3">
      <c r="B72" s="11" t="s">
        <v>334</v>
      </c>
      <c r="C72" s="6" t="s">
        <v>2</v>
      </c>
      <c r="D72" s="6" t="s">
        <v>2</v>
      </c>
      <c r="E72" s="6" t="s">
        <v>2</v>
      </c>
      <c r="F72" s="5"/>
      <c r="G72" s="5"/>
      <c r="H72" s="5"/>
      <c r="I72" s="5"/>
      <c r="J72" s="5"/>
      <c r="K72" s="5"/>
      <c r="L72" s="5"/>
      <c r="M72" s="5"/>
    </row>
    <row r="73" spans="2:13" x14ac:dyDescent="0.3">
      <c r="B73" s="11" t="s">
        <v>336</v>
      </c>
      <c r="C73" s="6" t="s">
        <v>2</v>
      </c>
      <c r="D73" s="6" t="s">
        <v>2</v>
      </c>
      <c r="E73" s="6" t="s">
        <v>2</v>
      </c>
      <c r="F73" s="5"/>
      <c r="G73" s="5"/>
      <c r="H73" s="5"/>
      <c r="I73" s="5"/>
      <c r="J73" s="5"/>
      <c r="K73" s="5"/>
      <c r="L73" s="5"/>
      <c r="M73" s="5"/>
    </row>
    <row r="74" spans="2:13" x14ac:dyDescent="0.3">
      <c r="B74" s="11" t="s">
        <v>337</v>
      </c>
      <c r="C74" s="6" t="s">
        <v>17</v>
      </c>
      <c r="D74" s="6" t="s">
        <v>17</v>
      </c>
      <c r="E74" s="6" t="s">
        <v>17</v>
      </c>
      <c r="F74" s="5"/>
      <c r="G74" s="5"/>
      <c r="H74" s="5"/>
      <c r="I74" s="5"/>
      <c r="J74" s="5"/>
      <c r="K74" s="5"/>
      <c r="L74" s="5"/>
      <c r="M74" s="5"/>
    </row>
    <row r="75" spans="2:13" x14ac:dyDescent="0.3">
      <c r="B75" s="11" t="s">
        <v>338</v>
      </c>
      <c r="C75" s="6" t="s">
        <v>2</v>
      </c>
      <c r="D75" s="6" t="s">
        <v>2</v>
      </c>
      <c r="E75" s="6" t="s">
        <v>2</v>
      </c>
      <c r="F75" s="5"/>
      <c r="G75" s="5"/>
      <c r="H75" s="5"/>
      <c r="I75" s="5"/>
      <c r="J75" s="5"/>
      <c r="K75" s="5"/>
      <c r="L75" s="5"/>
      <c r="M75" s="5"/>
    </row>
    <row r="76" spans="2:13" x14ac:dyDescent="0.3">
      <c r="B76" s="11" t="s">
        <v>339</v>
      </c>
      <c r="C76" s="6" t="s">
        <v>17</v>
      </c>
      <c r="D76" s="6" t="s">
        <v>17</v>
      </c>
      <c r="E76" s="6" t="s">
        <v>17</v>
      </c>
      <c r="F76" s="5"/>
      <c r="G76" s="5"/>
      <c r="H76" s="5"/>
      <c r="I76" s="5"/>
      <c r="J76" s="5"/>
      <c r="K76" s="5"/>
      <c r="L76" s="5"/>
      <c r="M76" s="5"/>
    </row>
    <row r="77" spans="2:13" x14ac:dyDescent="0.3">
      <c r="B77" s="17"/>
      <c r="C77" s="5" t="s">
        <v>511</v>
      </c>
      <c r="D77" s="5"/>
      <c r="E77" s="5"/>
      <c r="F77" s="5"/>
      <c r="G77" s="5"/>
      <c r="H77" s="5"/>
      <c r="I77" s="5"/>
      <c r="J77" s="5"/>
      <c r="K77" s="5"/>
      <c r="L77" s="5"/>
      <c r="M77" s="5"/>
    </row>
    <row r="78" spans="2:13" x14ac:dyDescent="0.3">
      <c r="B78" s="62" t="s">
        <v>328</v>
      </c>
      <c r="C78" s="21" t="s">
        <v>110</v>
      </c>
      <c r="D78" s="21" t="s">
        <v>111</v>
      </c>
      <c r="E78" s="21" t="s">
        <v>112</v>
      </c>
      <c r="F78" s="5" t="s">
        <v>113</v>
      </c>
      <c r="G78" s="5" t="s">
        <v>114</v>
      </c>
      <c r="H78" s="5" t="s">
        <v>115</v>
      </c>
      <c r="I78" s="5" t="s">
        <v>116</v>
      </c>
      <c r="J78" s="5" t="s">
        <v>117</v>
      </c>
      <c r="K78" s="5" t="s">
        <v>121</v>
      </c>
      <c r="L78" s="5" t="s">
        <v>122</v>
      </c>
      <c r="M78" s="5"/>
    </row>
    <row r="79" spans="2:13" x14ac:dyDescent="0.3">
      <c r="B79" s="11" t="s">
        <v>329</v>
      </c>
      <c r="C79" s="6" t="s">
        <v>2</v>
      </c>
      <c r="D79" s="6" t="s">
        <v>2</v>
      </c>
      <c r="E79" s="6" t="s">
        <v>2</v>
      </c>
      <c r="F79" s="5"/>
      <c r="G79" s="5"/>
      <c r="H79" s="5"/>
      <c r="I79" s="5"/>
      <c r="J79" s="5"/>
      <c r="K79" s="5"/>
      <c r="L79" s="5"/>
      <c r="M79" s="5"/>
    </row>
    <row r="80" spans="2:13" x14ac:dyDescent="0.3">
      <c r="B80" s="11" t="s">
        <v>330</v>
      </c>
      <c r="C80" s="6" t="s">
        <v>2</v>
      </c>
      <c r="D80" s="6" t="s">
        <v>2</v>
      </c>
      <c r="E80" s="6" t="s">
        <v>2</v>
      </c>
      <c r="F80" s="5"/>
      <c r="G80" s="5"/>
      <c r="H80" s="5"/>
      <c r="I80" s="5"/>
      <c r="J80" s="5"/>
      <c r="K80" s="5"/>
      <c r="L80" s="5"/>
      <c r="M80" s="5"/>
    </row>
    <row r="81" spans="2:13" x14ac:dyDescent="0.3">
      <c r="B81" s="11" t="s">
        <v>331</v>
      </c>
      <c r="C81" s="6" t="s">
        <v>2</v>
      </c>
      <c r="D81" s="6" t="s">
        <v>2</v>
      </c>
      <c r="E81" s="6" t="s">
        <v>2</v>
      </c>
      <c r="F81" s="5"/>
      <c r="G81" s="5"/>
      <c r="H81" s="5"/>
      <c r="I81" s="5"/>
      <c r="J81" s="5"/>
      <c r="K81" s="5"/>
      <c r="L81" s="5"/>
      <c r="M81" s="5"/>
    </row>
    <row r="82" spans="2:13" x14ac:dyDescent="0.3">
      <c r="B82" s="11" t="s">
        <v>332</v>
      </c>
      <c r="C82" s="6" t="s">
        <v>2</v>
      </c>
      <c r="D82" s="6" t="s">
        <v>2</v>
      </c>
      <c r="E82" s="6" t="s">
        <v>2</v>
      </c>
      <c r="F82" s="5"/>
      <c r="G82" s="5"/>
      <c r="H82" s="5"/>
      <c r="I82" s="5"/>
      <c r="J82" s="5"/>
      <c r="K82" s="5"/>
      <c r="L82" s="5"/>
      <c r="M82" s="5"/>
    </row>
    <row r="83" spans="2:13" x14ac:dyDescent="0.3">
      <c r="B83" s="17"/>
      <c r="C83" s="5" t="s">
        <v>511</v>
      </c>
      <c r="D83" s="5"/>
      <c r="E83" s="5"/>
      <c r="F83" s="5"/>
      <c r="G83" s="5"/>
      <c r="H83" s="5"/>
      <c r="I83" s="5"/>
      <c r="J83" s="5"/>
      <c r="K83" s="5"/>
      <c r="L83" s="5"/>
      <c r="M83" s="5"/>
    </row>
    <row r="84" spans="2:13" x14ac:dyDescent="0.3">
      <c r="B84" s="62" t="s">
        <v>324</v>
      </c>
      <c r="C84" s="21" t="s">
        <v>29</v>
      </c>
      <c r="D84" s="21" t="s">
        <v>104</v>
      </c>
      <c r="E84" s="21" t="s">
        <v>105</v>
      </c>
      <c r="F84" s="21" t="s">
        <v>106</v>
      </c>
      <c r="G84" s="21" t="s">
        <v>107</v>
      </c>
      <c r="H84" s="21" t="s">
        <v>108</v>
      </c>
      <c r="I84" s="5" t="s">
        <v>109</v>
      </c>
      <c r="J84" s="5" t="s">
        <v>118</v>
      </c>
      <c r="K84" s="5" t="s">
        <v>119</v>
      </c>
      <c r="L84" s="5" t="s">
        <v>120</v>
      </c>
      <c r="M84" s="5"/>
    </row>
    <row r="85" spans="2:13" x14ac:dyDescent="0.3">
      <c r="B85" s="11" t="s">
        <v>325</v>
      </c>
      <c r="C85" s="6" t="s">
        <v>2</v>
      </c>
      <c r="D85" s="6" t="s">
        <v>2</v>
      </c>
      <c r="E85" s="6" t="s">
        <v>2</v>
      </c>
      <c r="F85" s="6" t="s">
        <v>2</v>
      </c>
      <c r="G85" s="6" t="s">
        <v>2</v>
      </c>
      <c r="H85" s="6" t="s">
        <v>2</v>
      </c>
      <c r="I85" s="5"/>
      <c r="J85" s="5"/>
      <c r="K85" s="5"/>
      <c r="L85" s="5"/>
      <c r="M85" s="5"/>
    </row>
    <row r="86" spans="2:13" x14ac:dyDescent="0.3">
      <c r="B86" s="11" t="s">
        <v>326</v>
      </c>
      <c r="C86" s="6" t="s">
        <v>2</v>
      </c>
      <c r="D86" s="6" t="s">
        <v>2</v>
      </c>
      <c r="E86" s="6" t="s">
        <v>2</v>
      </c>
      <c r="F86" s="6" t="s">
        <v>2</v>
      </c>
      <c r="G86" s="6" t="s">
        <v>2</v>
      </c>
      <c r="H86" s="6" t="s">
        <v>2</v>
      </c>
      <c r="I86" s="5"/>
      <c r="J86" s="5"/>
      <c r="K86" s="5"/>
      <c r="L86" s="5"/>
      <c r="M86" s="5"/>
    </row>
    <row r="87" spans="2:13" x14ac:dyDescent="0.3">
      <c r="B87" s="11" t="s">
        <v>327</v>
      </c>
      <c r="C87" s="6" t="s">
        <v>2</v>
      </c>
      <c r="D87" s="6" t="s">
        <v>2</v>
      </c>
      <c r="E87" s="6" t="s">
        <v>2</v>
      </c>
      <c r="F87" s="6" t="s">
        <v>2</v>
      </c>
      <c r="G87" s="6" t="s">
        <v>2</v>
      </c>
      <c r="H87" s="6" t="s">
        <v>2</v>
      </c>
      <c r="I87" s="5"/>
      <c r="J87" s="5"/>
      <c r="K87" s="5"/>
      <c r="L87" s="5"/>
      <c r="M87" s="5"/>
    </row>
    <row r="88" spans="2:13" x14ac:dyDescent="0.3">
      <c r="B88" s="17"/>
      <c r="C88" s="5" t="s">
        <v>511</v>
      </c>
      <c r="D88" s="5"/>
      <c r="E88" s="5"/>
      <c r="F88" s="5"/>
      <c r="G88" s="5"/>
      <c r="H88" s="5"/>
      <c r="I88" s="5"/>
      <c r="J88" s="5"/>
      <c r="K88" s="5"/>
      <c r="L88" s="5"/>
      <c r="M88" s="5"/>
    </row>
    <row r="89" spans="2:13" x14ac:dyDescent="0.3">
      <c r="B89" s="62" t="s">
        <v>323</v>
      </c>
      <c r="C89" s="21" t="s">
        <v>110</v>
      </c>
      <c r="D89" s="21" t="s">
        <v>111</v>
      </c>
      <c r="E89" s="21" t="s">
        <v>112</v>
      </c>
      <c r="F89" s="5" t="s">
        <v>113</v>
      </c>
      <c r="G89" s="5" t="s">
        <v>114</v>
      </c>
      <c r="H89" s="5" t="s">
        <v>115</v>
      </c>
      <c r="I89" s="5" t="s">
        <v>116</v>
      </c>
      <c r="J89" s="5" t="s">
        <v>117</v>
      </c>
      <c r="K89" s="5" t="s">
        <v>121</v>
      </c>
      <c r="L89" s="5" t="s">
        <v>122</v>
      </c>
      <c r="M89" s="5"/>
    </row>
    <row r="90" spans="2:13" x14ac:dyDescent="0.3">
      <c r="B90" s="11" t="s">
        <v>349</v>
      </c>
      <c r="C90" s="6" t="s">
        <v>2409</v>
      </c>
      <c r="D90" s="6" t="s">
        <v>2409</v>
      </c>
      <c r="E90" s="6" t="s">
        <v>2409</v>
      </c>
      <c r="F90" s="5"/>
      <c r="G90" s="5"/>
      <c r="H90" s="5"/>
      <c r="I90" s="5"/>
      <c r="J90" s="5"/>
      <c r="K90" s="5"/>
      <c r="L90" s="5"/>
      <c r="M90" s="5"/>
    </row>
    <row r="91" spans="2:13" x14ac:dyDescent="0.3">
      <c r="B91" s="11" t="s">
        <v>976</v>
      </c>
      <c r="C91" s="6" t="s">
        <v>2</v>
      </c>
      <c r="D91" s="6" t="s">
        <v>2</v>
      </c>
      <c r="E91" s="6" t="s">
        <v>2</v>
      </c>
      <c r="F91" s="5"/>
      <c r="G91" s="5"/>
      <c r="H91" s="5"/>
      <c r="I91" s="5"/>
      <c r="J91" s="5"/>
      <c r="K91" s="5"/>
      <c r="L91" s="5"/>
      <c r="M91" s="5"/>
    </row>
    <row r="92" spans="2:13" x14ac:dyDescent="0.3">
      <c r="B92" s="11" t="s">
        <v>977</v>
      </c>
      <c r="C92" s="6" t="s">
        <v>17</v>
      </c>
      <c r="D92" s="6" t="s">
        <v>17</v>
      </c>
      <c r="E92" s="6" t="s">
        <v>17</v>
      </c>
      <c r="F92" s="5"/>
      <c r="G92" s="5"/>
      <c r="H92" s="5"/>
      <c r="I92" s="5"/>
      <c r="J92" s="5"/>
      <c r="K92" s="5"/>
      <c r="L92" s="5"/>
      <c r="M92" s="5"/>
    </row>
    <row r="93" spans="2:13" x14ac:dyDescent="0.3">
      <c r="B93" s="11" t="s">
        <v>1247</v>
      </c>
      <c r="C93" s="6" t="s">
        <v>2</v>
      </c>
      <c r="D93" s="6" t="s">
        <v>2</v>
      </c>
      <c r="E93" s="6" t="s">
        <v>2</v>
      </c>
      <c r="F93" s="5"/>
      <c r="G93" s="5"/>
      <c r="H93" s="5"/>
      <c r="I93" s="5"/>
      <c r="J93" s="5"/>
      <c r="K93" s="5"/>
      <c r="L93" s="5"/>
      <c r="M93" s="5"/>
    </row>
    <row r="94" spans="2:13" x14ac:dyDescent="0.3">
      <c r="B94" s="11" t="s">
        <v>344</v>
      </c>
      <c r="C94" s="6" t="s">
        <v>17</v>
      </c>
      <c r="D94" s="6" t="s">
        <v>17</v>
      </c>
      <c r="E94" s="6" t="s">
        <v>17</v>
      </c>
      <c r="F94" s="5"/>
      <c r="G94" s="5"/>
      <c r="H94" s="5"/>
      <c r="I94" s="5"/>
      <c r="J94" s="5"/>
      <c r="K94" s="5"/>
      <c r="L94" s="5"/>
      <c r="M94" s="5"/>
    </row>
    <row r="95" spans="2:13" x14ac:dyDescent="0.3">
      <c r="B95" s="11" t="s">
        <v>345</v>
      </c>
      <c r="C95" s="6">
        <v>9.1999999999999993</v>
      </c>
      <c r="D95" s="6">
        <v>9.1999999999999993</v>
      </c>
      <c r="E95" s="6">
        <v>9.1999999999999993</v>
      </c>
      <c r="F95" s="5"/>
      <c r="G95" s="5"/>
      <c r="H95" s="5"/>
      <c r="I95" s="5"/>
      <c r="J95" s="5"/>
      <c r="K95" s="5"/>
      <c r="L95" s="5"/>
      <c r="M95" s="5"/>
    </row>
    <row r="96" spans="2:13" x14ac:dyDescent="0.3">
      <c r="B96" s="11" t="s">
        <v>346</v>
      </c>
      <c r="C96" s="6">
        <v>0.46</v>
      </c>
      <c r="D96" s="6">
        <v>0.46</v>
      </c>
      <c r="E96" s="6">
        <v>0.46</v>
      </c>
      <c r="F96" s="5"/>
      <c r="G96" s="5"/>
      <c r="H96" s="5"/>
      <c r="I96" s="5"/>
      <c r="J96" s="5"/>
      <c r="K96" s="5"/>
      <c r="L96" s="5"/>
      <c r="M96" s="5"/>
    </row>
    <row r="97" spans="1:13" x14ac:dyDescent="0.3">
      <c r="B97" s="11" t="s">
        <v>347</v>
      </c>
      <c r="C97" s="116">
        <v>2</v>
      </c>
      <c r="D97" s="116">
        <v>2</v>
      </c>
      <c r="E97" s="116">
        <v>2</v>
      </c>
      <c r="F97" s="5"/>
      <c r="G97" s="5"/>
      <c r="H97" s="5"/>
      <c r="I97" s="5"/>
      <c r="J97" s="5"/>
      <c r="K97" s="5"/>
      <c r="L97" s="5"/>
      <c r="M97" s="5"/>
    </row>
    <row r="98" spans="1:13" x14ac:dyDescent="0.3">
      <c r="B98" s="11" t="s">
        <v>348</v>
      </c>
      <c r="C98" s="116">
        <v>2</v>
      </c>
      <c r="D98" s="116">
        <v>2</v>
      </c>
      <c r="E98" s="116">
        <v>2</v>
      </c>
      <c r="F98" s="5"/>
      <c r="G98" s="5"/>
      <c r="H98" s="5"/>
      <c r="I98" s="5"/>
      <c r="J98" s="5"/>
      <c r="K98" s="5"/>
      <c r="L98" s="5"/>
      <c r="M98" s="5"/>
    </row>
    <row r="99" spans="1:13" x14ac:dyDescent="0.3">
      <c r="B99" s="17"/>
      <c r="C99" s="5" t="s">
        <v>511</v>
      </c>
      <c r="D99" s="5"/>
      <c r="E99" s="5"/>
      <c r="F99" s="5"/>
      <c r="G99" s="5"/>
      <c r="H99" s="5"/>
      <c r="I99" s="5"/>
      <c r="J99" s="5"/>
      <c r="K99" s="5"/>
      <c r="L99" s="5"/>
      <c r="M99" s="5"/>
    </row>
    <row r="100" spans="1:13" x14ac:dyDescent="0.3">
      <c r="B100" s="11" t="s">
        <v>320</v>
      </c>
      <c r="C100" s="21" t="s">
        <v>110</v>
      </c>
      <c r="D100" s="21" t="s">
        <v>111</v>
      </c>
      <c r="E100" s="21" t="s">
        <v>112</v>
      </c>
      <c r="F100" s="5" t="s">
        <v>113</v>
      </c>
      <c r="G100" s="5" t="s">
        <v>114</v>
      </c>
      <c r="H100" s="5" t="s">
        <v>115</v>
      </c>
      <c r="I100" s="5" t="s">
        <v>116</v>
      </c>
      <c r="J100" s="5" t="s">
        <v>117</v>
      </c>
      <c r="K100" s="5" t="s">
        <v>121</v>
      </c>
      <c r="L100" s="5" t="s">
        <v>122</v>
      </c>
      <c r="M100" s="5"/>
    </row>
    <row r="101" spans="1:13" x14ac:dyDescent="0.3">
      <c r="B101" s="11" t="s">
        <v>2405</v>
      </c>
      <c r="C101" s="6" t="s">
        <v>17</v>
      </c>
      <c r="D101" s="6" t="s">
        <v>17</v>
      </c>
      <c r="E101" s="6" t="s">
        <v>17</v>
      </c>
      <c r="F101" s="5"/>
      <c r="G101" s="5"/>
      <c r="H101" s="5"/>
      <c r="I101" s="5"/>
      <c r="J101" s="5"/>
      <c r="K101" s="5"/>
      <c r="L101" s="5"/>
      <c r="M101" s="5"/>
    </row>
    <row r="102" spans="1:13" x14ac:dyDescent="0.3">
      <c r="B102" s="11" t="s">
        <v>315</v>
      </c>
      <c r="C102" s="6" t="s">
        <v>2410</v>
      </c>
      <c r="D102" s="6" t="s">
        <v>2410</v>
      </c>
      <c r="E102" s="6" t="s">
        <v>2410</v>
      </c>
      <c r="F102" s="5"/>
      <c r="G102" s="5"/>
      <c r="H102" s="5"/>
      <c r="I102" s="5"/>
      <c r="J102" s="5"/>
      <c r="K102" s="5"/>
      <c r="L102" s="5"/>
      <c r="M102" s="5"/>
    </row>
    <row r="103" spans="1:13" x14ac:dyDescent="0.3">
      <c r="B103" s="11" t="s">
        <v>316</v>
      </c>
      <c r="C103" s="6">
        <v>0.25</v>
      </c>
      <c r="D103" s="6">
        <v>0.25</v>
      </c>
      <c r="E103" s="6">
        <v>0.25</v>
      </c>
      <c r="F103" s="5"/>
      <c r="G103" s="5"/>
      <c r="H103" s="5"/>
      <c r="I103" s="5"/>
      <c r="J103" s="5"/>
      <c r="K103" s="5"/>
      <c r="L103" s="5"/>
      <c r="M103" s="5"/>
    </row>
    <row r="104" spans="1:13" x14ac:dyDescent="0.3">
      <c r="B104" s="11" t="s">
        <v>317</v>
      </c>
      <c r="C104" s="115">
        <v>10</v>
      </c>
      <c r="D104" s="115">
        <v>10</v>
      </c>
      <c r="E104" s="115">
        <v>10</v>
      </c>
      <c r="F104" s="5"/>
      <c r="G104" s="5"/>
      <c r="H104" s="5"/>
      <c r="I104" s="5"/>
      <c r="J104" s="5"/>
      <c r="K104" s="5"/>
      <c r="L104" s="5"/>
      <c r="M104" s="5"/>
    </row>
    <row r="105" spans="1:13" x14ac:dyDescent="0.3">
      <c r="B105" s="11" t="s">
        <v>318</v>
      </c>
      <c r="C105" s="6">
        <v>0.6</v>
      </c>
      <c r="D105" s="6">
        <v>0.6</v>
      </c>
      <c r="E105" s="6">
        <v>0.6</v>
      </c>
      <c r="F105" s="5"/>
      <c r="G105" s="5"/>
      <c r="H105" s="5"/>
      <c r="I105" s="5"/>
      <c r="J105" s="5"/>
      <c r="K105" s="5"/>
      <c r="L105" s="5"/>
      <c r="M105" s="5"/>
    </row>
    <row r="106" spans="1:13" x14ac:dyDescent="0.3">
      <c r="A106" s="25" t="s">
        <v>2605</v>
      </c>
      <c r="B106" s="11" t="s">
        <v>319</v>
      </c>
      <c r="C106" s="6">
        <v>7.0000000000000007E-2</v>
      </c>
      <c r="D106" s="6">
        <v>7.0000000000000007E-2</v>
      </c>
      <c r="E106" s="6">
        <v>7.0000000000000007E-2</v>
      </c>
      <c r="F106" s="5"/>
      <c r="G106" s="5"/>
      <c r="H106" s="5"/>
      <c r="I106" s="5"/>
      <c r="J106" s="5"/>
      <c r="K106" s="5"/>
      <c r="L106" s="5"/>
      <c r="M106" s="5"/>
    </row>
    <row r="107" spans="1:13" x14ac:dyDescent="0.3">
      <c r="B107" s="17"/>
      <c r="C107" s="5" t="s">
        <v>511</v>
      </c>
      <c r="D107" s="5"/>
      <c r="E107" s="5"/>
      <c r="F107" s="5"/>
      <c r="G107" s="5"/>
      <c r="H107" s="5"/>
      <c r="I107" s="5"/>
      <c r="J107" s="5"/>
      <c r="K107" s="5"/>
      <c r="L107" s="5"/>
      <c r="M107" s="5"/>
    </row>
    <row r="108" spans="1:13" x14ac:dyDescent="0.3">
      <c r="B108" s="62" t="s">
        <v>321</v>
      </c>
      <c r="C108" s="21" t="s">
        <v>110</v>
      </c>
      <c r="D108" s="21" t="s">
        <v>111</v>
      </c>
      <c r="E108" s="21" t="s">
        <v>112</v>
      </c>
      <c r="F108" s="5" t="s">
        <v>113</v>
      </c>
      <c r="G108" s="5" t="s">
        <v>114</v>
      </c>
      <c r="H108" s="5" t="s">
        <v>115</v>
      </c>
      <c r="I108" s="5" t="s">
        <v>116</v>
      </c>
      <c r="J108" s="5" t="s">
        <v>117</v>
      </c>
      <c r="K108" s="5" t="s">
        <v>121</v>
      </c>
      <c r="L108" s="5" t="s">
        <v>122</v>
      </c>
      <c r="M108" s="5"/>
    </row>
    <row r="109" spans="1:13" x14ac:dyDescent="0.3">
      <c r="B109" s="11" t="s">
        <v>314</v>
      </c>
      <c r="C109" s="6" t="s">
        <v>1204</v>
      </c>
      <c r="D109" s="6" t="s">
        <v>1204</v>
      </c>
      <c r="E109" s="6" t="s">
        <v>1204</v>
      </c>
      <c r="F109" s="5"/>
      <c r="G109" s="5"/>
      <c r="H109" s="5"/>
      <c r="I109" s="5"/>
      <c r="J109" s="5"/>
      <c r="K109" s="5"/>
      <c r="L109" s="5"/>
      <c r="M109" s="5"/>
    </row>
    <row r="110" spans="1:13" x14ac:dyDescent="0.3">
      <c r="B110" s="11" t="s">
        <v>1248</v>
      </c>
      <c r="C110" s="6">
        <v>0.55000000000000004</v>
      </c>
      <c r="D110" s="6">
        <v>0.55000000000000004</v>
      </c>
      <c r="E110" s="6">
        <v>0.55000000000000004</v>
      </c>
      <c r="F110" s="5"/>
      <c r="G110" s="5"/>
      <c r="H110" s="5"/>
      <c r="I110" s="5"/>
      <c r="J110" s="5"/>
      <c r="K110" s="5"/>
      <c r="L110" s="5"/>
      <c r="M110" s="5"/>
    </row>
    <row r="111" spans="1:13" x14ac:dyDescent="0.3">
      <c r="B111" s="17"/>
      <c r="C111" s="5" t="s">
        <v>511</v>
      </c>
      <c r="D111" s="5"/>
      <c r="E111" s="5"/>
      <c r="F111" s="5"/>
      <c r="G111" s="5"/>
      <c r="H111" s="5"/>
      <c r="I111" s="5"/>
      <c r="J111" s="5"/>
      <c r="K111" s="5"/>
      <c r="L111" s="5"/>
      <c r="M111" s="5"/>
    </row>
    <row r="112" spans="1:13" x14ac:dyDescent="0.3">
      <c r="B112" s="62" t="s">
        <v>322</v>
      </c>
      <c r="C112" s="21" t="s">
        <v>110</v>
      </c>
      <c r="D112" s="21" t="s">
        <v>111</v>
      </c>
      <c r="E112" s="21" t="s">
        <v>112</v>
      </c>
      <c r="F112" s="5" t="s">
        <v>113</v>
      </c>
      <c r="G112" s="5" t="s">
        <v>114</v>
      </c>
      <c r="H112" s="5" t="s">
        <v>115</v>
      </c>
      <c r="I112" s="5" t="s">
        <v>116</v>
      </c>
      <c r="J112" s="5" t="s">
        <v>117</v>
      </c>
      <c r="K112" s="5" t="s">
        <v>121</v>
      </c>
      <c r="L112" s="5" t="s">
        <v>122</v>
      </c>
      <c r="M112" s="5"/>
    </row>
    <row r="113" spans="2:13" x14ac:dyDescent="0.3">
      <c r="B113" s="11" t="s">
        <v>266</v>
      </c>
      <c r="C113" s="54">
        <v>1</v>
      </c>
      <c r="D113" s="54">
        <v>1</v>
      </c>
      <c r="E113" s="54">
        <v>1</v>
      </c>
      <c r="F113" s="5"/>
      <c r="G113" s="5"/>
      <c r="H113" s="5"/>
      <c r="I113" s="5"/>
      <c r="J113" s="5"/>
      <c r="K113" s="5"/>
      <c r="L113" s="5"/>
      <c r="M113" s="5"/>
    </row>
    <row r="114" spans="2:13" x14ac:dyDescent="0.3">
      <c r="B114" s="11" t="s">
        <v>267</v>
      </c>
      <c r="C114" s="54">
        <v>1</v>
      </c>
      <c r="D114" s="54">
        <v>1</v>
      </c>
      <c r="E114" s="54">
        <v>1</v>
      </c>
      <c r="F114" s="5"/>
      <c r="G114" s="5"/>
      <c r="H114" s="5"/>
      <c r="I114" s="5"/>
      <c r="J114" s="5"/>
      <c r="K114" s="5"/>
      <c r="L114" s="5"/>
      <c r="M114" s="5"/>
    </row>
    <row r="115" spans="2:13" x14ac:dyDescent="0.3">
      <c r="B115" s="11" t="s">
        <v>1249</v>
      </c>
      <c r="C115" s="6">
        <v>0.3</v>
      </c>
      <c r="D115" s="6">
        <v>0.3</v>
      </c>
      <c r="E115" s="6">
        <v>0.3</v>
      </c>
      <c r="F115" s="5"/>
      <c r="G115" s="5"/>
      <c r="H115" s="5"/>
      <c r="I115" s="5"/>
      <c r="J115" s="5"/>
      <c r="K115" s="5"/>
      <c r="L115" s="5"/>
      <c r="M115" s="5"/>
    </row>
    <row r="116" spans="2:13" x14ac:dyDescent="0.3">
      <c r="B116" s="11" t="s">
        <v>1250</v>
      </c>
      <c r="C116" s="6">
        <v>13</v>
      </c>
      <c r="D116" s="6">
        <v>13</v>
      </c>
      <c r="E116" s="6">
        <v>13</v>
      </c>
      <c r="F116" s="5"/>
      <c r="G116" s="5"/>
      <c r="H116" s="5"/>
      <c r="I116" s="5"/>
      <c r="J116" s="5"/>
      <c r="K116" s="5"/>
      <c r="L116" s="5"/>
      <c r="M116" s="5"/>
    </row>
    <row r="117" spans="2:13" x14ac:dyDescent="0.3">
      <c r="B117" s="11" t="s">
        <v>268</v>
      </c>
      <c r="C117" s="6">
        <v>0.01</v>
      </c>
      <c r="D117" s="6">
        <v>0.01</v>
      </c>
      <c r="E117" s="6">
        <v>0.01</v>
      </c>
      <c r="F117" s="5"/>
      <c r="G117" s="5"/>
      <c r="H117" s="5"/>
      <c r="I117" s="5"/>
      <c r="J117" s="5"/>
      <c r="K117" s="5"/>
      <c r="L117" s="5"/>
      <c r="M117" s="5"/>
    </row>
    <row r="118" spans="2:13" x14ac:dyDescent="0.3">
      <c r="B118" s="11" t="s">
        <v>975</v>
      </c>
      <c r="C118" s="54">
        <v>1</v>
      </c>
      <c r="D118" s="54">
        <v>1</v>
      </c>
      <c r="E118" s="54">
        <v>1</v>
      </c>
      <c r="F118" s="5"/>
      <c r="G118" s="5"/>
      <c r="H118" s="5"/>
      <c r="I118" s="5"/>
      <c r="J118" s="5"/>
      <c r="K118" s="5"/>
      <c r="L118" s="5"/>
      <c r="M118" s="5"/>
    </row>
    <row r="119" spans="2:13" x14ac:dyDescent="0.3">
      <c r="B119" s="11" t="s">
        <v>974</v>
      </c>
      <c r="C119" s="6" t="s">
        <v>2411</v>
      </c>
      <c r="D119" s="6" t="s">
        <v>2411</v>
      </c>
      <c r="E119" s="6" t="s">
        <v>2411</v>
      </c>
      <c r="F119" s="5"/>
      <c r="G119" s="5"/>
      <c r="H119" s="5"/>
      <c r="I119" s="5"/>
      <c r="J119" s="5"/>
      <c r="K119" s="5"/>
      <c r="L119" s="5"/>
      <c r="M119" s="5"/>
    </row>
    <row r="120" spans="2:13" x14ac:dyDescent="0.3">
      <c r="B120" s="11" t="s">
        <v>973</v>
      </c>
      <c r="C120" s="6">
        <v>1E-4</v>
      </c>
      <c r="D120" s="6">
        <v>1E-4</v>
      </c>
      <c r="E120" s="6">
        <v>1E-4</v>
      </c>
      <c r="F120" s="5"/>
      <c r="G120" s="5"/>
      <c r="H120" s="5"/>
      <c r="I120" s="5"/>
      <c r="J120" s="5"/>
      <c r="K120" s="5"/>
      <c r="L120" s="5"/>
      <c r="M120" s="5"/>
    </row>
    <row r="121" spans="2:13" x14ac:dyDescent="0.3">
      <c r="B121" s="17"/>
      <c r="C121" s="5" t="s">
        <v>511</v>
      </c>
      <c r="D121" s="5"/>
      <c r="E121" s="5"/>
      <c r="F121" s="5"/>
      <c r="G121" s="5"/>
      <c r="H121" s="5"/>
      <c r="I121" s="5"/>
      <c r="J121" s="5"/>
      <c r="K121" s="5"/>
      <c r="L121" s="5"/>
      <c r="M121" s="5"/>
    </row>
    <row r="122" spans="2:13" x14ac:dyDescent="0.3">
      <c r="B122" s="62" t="s">
        <v>265</v>
      </c>
      <c r="C122" s="21" t="s">
        <v>110</v>
      </c>
      <c r="D122" s="21" t="s">
        <v>111</v>
      </c>
      <c r="E122" s="21" t="s">
        <v>112</v>
      </c>
      <c r="F122" s="5" t="s">
        <v>113</v>
      </c>
      <c r="G122" s="5" t="s">
        <v>114</v>
      </c>
      <c r="H122" s="5" t="s">
        <v>115</v>
      </c>
      <c r="I122" s="5" t="s">
        <v>116</v>
      </c>
      <c r="J122" s="5" t="s">
        <v>117</v>
      </c>
      <c r="K122" s="5" t="s">
        <v>121</v>
      </c>
      <c r="L122" s="5" t="s">
        <v>122</v>
      </c>
      <c r="M122" s="5"/>
    </row>
    <row r="123" spans="2:13" x14ac:dyDescent="0.3">
      <c r="B123" s="11" t="s">
        <v>967</v>
      </c>
      <c r="C123" s="6" t="s">
        <v>2412</v>
      </c>
      <c r="D123" s="6" t="s">
        <v>2412</v>
      </c>
      <c r="E123" s="6" t="s">
        <v>2412</v>
      </c>
      <c r="F123" s="5"/>
      <c r="G123" s="5"/>
      <c r="H123" s="5"/>
      <c r="I123" s="5"/>
      <c r="J123" s="5"/>
      <c r="K123" s="5"/>
      <c r="L123" s="5"/>
      <c r="M123" s="5"/>
    </row>
    <row r="124" spans="2:13" x14ac:dyDescent="0.3">
      <c r="B124" s="11" t="s">
        <v>966</v>
      </c>
      <c r="C124" s="6" t="s">
        <v>1088</v>
      </c>
      <c r="D124" s="6" t="s">
        <v>1088</v>
      </c>
      <c r="E124" s="6" t="s">
        <v>1088</v>
      </c>
      <c r="F124" s="5"/>
      <c r="G124" s="5"/>
      <c r="H124" s="5"/>
      <c r="I124" s="5"/>
      <c r="J124" s="5"/>
      <c r="K124" s="5"/>
      <c r="L124" s="5"/>
      <c r="M124" s="5"/>
    </row>
    <row r="125" spans="2:13" x14ac:dyDescent="0.3">
      <c r="B125" s="11" t="s">
        <v>965</v>
      </c>
      <c r="C125" s="6">
        <v>1</v>
      </c>
      <c r="D125" s="6">
        <v>1</v>
      </c>
      <c r="E125" s="6">
        <v>1</v>
      </c>
      <c r="F125" s="5"/>
      <c r="G125" s="5"/>
      <c r="H125" s="5"/>
      <c r="I125" s="5"/>
      <c r="J125" s="5"/>
      <c r="K125" s="5"/>
      <c r="L125" s="5"/>
      <c r="M125" s="5"/>
    </row>
    <row r="126" spans="2:13" x14ac:dyDescent="0.3">
      <c r="B126" s="11" t="s">
        <v>1251</v>
      </c>
      <c r="C126" s="6">
        <v>3</v>
      </c>
      <c r="D126" s="6">
        <v>3</v>
      </c>
      <c r="E126" s="6">
        <v>3</v>
      </c>
      <c r="F126" s="5"/>
      <c r="G126" s="5"/>
      <c r="H126" s="5"/>
      <c r="I126" s="5"/>
      <c r="J126" s="5"/>
      <c r="K126" s="5"/>
      <c r="L126" s="5"/>
      <c r="M126" s="5"/>
    </row>
    <row r="127" spans="2:13" x14ac:dyDescent="0.3">
      <c r="B127" s="11" t="s">
        <v>968</v>
      </c>
      <c r="C127" s="6">
        <v>9.5350000000000001</v>
      </c>
      <c r="D127" s="6">
        <v>9.5350000000000001</v>
      </c>
      <c r="E127" s="6">
        <v>9.5350000000000001</v>
      </c>
      <c r="F127" s="5"/>
      <c r="G127" s="5"/>
      <c r="H127" s="5"/>
      <c r="I127" s="5"/>
      <c r="J127" s="5"/>
      <c r="K127" s="5"/>
      <c r="L127" s="5"/>
      <c r="M127" s="5"/>
    </row>
    <row r="128" spans="2:13" x14ac:dyDescent="0.3">
      <c r="B128" s="11" t="s">
        <v>969</v>
      </c>
      <c r="C128" s="6">
        <v>0.43099999999999999</v>
      </c>
      <c r="D128" s="6">
        <v>0.43099999999999999</v>
      </c>
      <c r="E128" s="6">
        <v>0.43099999999999999</v>
      </c>
      <c r="F128" s="5"/>
      <c r="G128" s="5"/>
      <c r="H128" s="5"/>
      <c r="I128" s="5"/>
      <c r="J128" s="5"/>
      <c r="K128" s="5"/>
      <c r="L128" s="5"/>
      <c r="M128" s="5"/>
    </row>
    <row r="129" spans="1:13" x14ac:dyDescent="0.3">
      <c r="B129" s="11" t="s">
        <v>970</v>
      </c>
      <c r="C129" s="115">
        <v>24</v>
      </c>
      <c r="D129" s="115">
        <v>24</v>
      </c>
      <c r="E129" s="115">
        <v>24</v>
      </c>
      <c r="F129" s="5"/>
      <c r="G129" s="5"/>
      <c r="H129" s="5"/>
      <c r="I129" s="5"/>
      <c r="J129" s="5"/>
      <c r="K129" s="5"/>
      <c r="L129" s="5"/>
      <c r="M129" s="5"/>
    </row>
    <row r="130" spans="1:13" x14ac:dyDescent="0.3">
      <c r="B130" s="11" t="s">
        <v>971</v>
      </c>
      <c r="C130" s="115">
        <v>10</v>
      </c>
      <c r="D130" s="115">
        <v>10</v>
      </c>
      <c r="E130" s="115">
        <v>10</v>
      </c>
      <c r="F130" s="5"/>
      <c r="G130" s="5"/>
      <c r="H130" s="5"/>
      <c r="I130" s="5"/>
      <c r="J130" s="5"/>
      <c r="K130" s="5"/>
      <c r="L130" s="5"/>
      <c r="M130" s="5"/>
    </row>
    <row r="131" spans="1:13" x14ac:dyDescent="0.3">
      <c r="B131" s="11" t="s">
        <v>972</v>
      </c>
      <c r="C131" s="6" t="s">
        <v>1088</v>
      </c>
      <c r="D131" s="6" t="s">
        <v>1088</v>
      </c>
      <c r="E131" s="6" t="s">
        <v>1088</v>
      </c>
      <c r="F131" s="5"/>
      <c r="G131" s="5"/>
      <c r="H131" s="5"/>
      <c r="I131" s="5"/>
      <c r="J131" s="5"/>
      <c r="K131" s="5"/>
      <c r="L131" s="5"/>
      <c r="M131" s="5"/>
    </row>
    <row r="132" spans="1:13" x14ac:dyDescent="0.3">
      <c r="B132" s="17"/>
      <c r="C132" s="5" t="s">
        <v>511</v>
      </c>
      <c r="D132" s="5"/>
      <c r="E132" s="5"/>
      <c r="F132" s="5"/>
      <c r="G132" s="5"/>
      <c r="H132" s="5"/>
      <c r="I132" s="5"/>
      <c r="J132" s="5"/>
      <c r="K132" s="5"/>
      <c r="L132" s="5"/>
      <c r="M132" s="5"/>
    </row>
    <row r="133" spans="1:13" x14ac:dyDescent="0.3">
      <c r="B133" s="62" t="s">
        <v>964</v>
      </c>
      <c r="C133" s="21" t="s">
        <v>29</v>
      </c>
      <c r="D133" s="21" t="s">
        <v>104</v>
      </c>
      <c r="E133" s="21" t="s">
        <v>105</v>
      </c>
      <c r="F133" s="21" t="s">
        <v>106</v>
      </c>
      <c r="G133" s="21" t="s">
        <v>107</v>
      </c>
      <c r="H133" s="21" t="s">
        <v>108</v>
      </c>
      <c r="I133" s="5" t="s">
        <v>109</v>
      </c>
      <c r="J133" s="5" t="s">
        <v>118</v>
      </c>
      <c r="K133" s="5" t="s">
        <v>119</v>
      </c>
      <c r="L133" s="5" t="s">
        <v>120</v>
      </c>
      <c r="M133" s="5"/>
    </row>
    <row r="134" spans="1:13" x14ac:dyDescent="0.3">
      <c r="A134" s="25" t="s">
        <v>1615</v>
      </c>
      <c r="B134" s="11" t="s">
        <v>963</v>
      </c>
      <c r="C134" s="6">
        <v>0</v>
      </c>
      <c r="D134" s="6">
        <v>0</v>
      </c>
      <c r="E134" s="6">
        <v>0</v>
      </c>
      <c r="F134" s="6">
        <v>0</v>
      </c>
      <c r="G134" s="6">
        <v>0</v>
      </c>
      <c r="H134" s="6">
        <v>0</v>
      </c>
      <c r="I134" s="5"/>
      <c r="J134" s="5"/>
      <c r="K134" s="5"/>
      <c r="L134" s="5"/>
      <c r="M134" s="5"/>
    </row>
    <row r="135" spans="1:13" x14ac:dyDescent="0.3">
      <c r="A135" s="25" t="s">
        <v>995</v>
      </c>
      <c r="B135" s="11" t="s">
        <v>1614</v>
      </c>
      <c r="C135" s="6" t="s">
        <v>17</v>
      </c>
      <c r="D135" s="6" t="s">
        <v>17</v>
      </c>
      <c r="E135" s="6" t="s">
        <v>17</v>
      </c>
      <c r="F135" s="6" t="s">
        <v>17</v>
      </c>
      <c r="G135" s="6" t="s">
        <v>17</v>
      </c>
      <c r="H135" s="6" t="s">
        <v>17</v>
      </c>
      <c r="I135" s="5"/>
      <c r="J135" s="5"/>
      <c r="K135" s="5"/>
      <c r="L135" s="5"/>
      <c r="M135" s="5"/>
    </row>
    <row r="136" spans="1:13" x14ac:dyDescent="0.3">
      <c r="A136" s="25" t="s">
        <v>996</v>
      </c>
      <c r="B136" s="11" t="s">
        <v>958</v>
      </c>
      <c r="C136" s="6"/>
      <c r="D136" s="6"/>
      <c r="E136" s="6"/>
      <c r="F136" s="6"/>
      <c r="G136" s="6"/>
      <c r="H136" s="6"/>
      <c r="I136" s="5"/>
      <c r="J136" s="5"/>
      <c r="K136" s="5"/>
      <c r="L136" s="5"/>
      <c r="M136" s="5"/>
    </row>
    <row r="137" spans="1:13" x14ac:dyDescent="0.3">
      <c r="B137" s="11" t="s">
        <v>959</v>
      </c>
      <c r="C137" s="6"/>
      <c r="D137" s="6"/>
      <c r="E137" s="6"/>
      <c r="F137" s="6"/>
      <c r="G137" s="6"/>
      <c r="H137" s="6"/>
      <c r="I137" s="5"/>
      <c r="J137" s="5"/>
      <c r="K137" s="5"/>
      <c r="L137" s="5"/>
      <c r="M137" s="5"/>
    </row>
    <row r="138" spans="1:13" x14ac:dyDescent="0.3">
      <c r="B138" s="11" t="s">
        <v>960</v>
      </c>
      <c r="C138" s="6"/>
      <c r="D138" s="6"/>
      <c r="E138" s="6"/>
      <c r="F138" s="6"/>
      <c r="G138" s="6"/>
      <c r="H138" s="6"/>
      <c r="I138" s="5"/>
      <c r="J138" s="5"/>
      <c r="K138" s="5"/>
      <c r="L138" s="5"/>
      <c r="M138" s="5"/>
    </row>
    <row r="139" spans="1:13" x14ac:dyDescent="0.3">
      <c r="B139" s="11" t="s">
        <v>961</v>
      </c>
      <c r="C139" s="6"/>
      <c r="D139" s="6"/>
      <c r="E139" s="6"/>
      <c r="F139" s="6"/>
      <c r="G139" s="6"/>
      <c r="H139" s="6"/>
      <c r="I139" s="5"/>
      <c r="J139" s="5"/>
      <c r="K139" s="5"/>
      <c r="L139" s="5"/>
      <c r="M139" s="5"/>
    </row>
    <row r="140" spans="1:13" x14ac:dyDescent="0.3">
      <c r="A140" s="22" t="s">
        <v>1060</v>
      </c>
      <c r="B140" s="11" t="s">
        <v>962</v>
      </c>
      <c r="C140" s="6"/>
      <c r="D140" s="6"/>
      <c r="E140" s="6"/>
      <c r="F140" s="6"/>
      <c r="G140" s="6"/>
      <c r="H140" s="6"/>
      <c r="I140" s="5"/>
      <c r="J140" s="5"/>
      <c r="K140" s="5"/>
      <c r="L140" s="5"/>
      <c r="M140" s="5"/>
    </row>
    <row r="141" spans="1:13" x14ac:dyDescent="0.3">
      <c r="A141" t="s">
        <v>239</v>
      </c>
      <c r="B141" s="11" t="s">
        <v>953</v>
      </c>
      <c r="C141" s="6"/>
      <c r="D141" s="6"/>
      <c r="E141" s="6"/>
      <c r="F141" s="6"/>
      <c r="G141" s="6"/>
      <c r="H141" s="6"/>
      <c r="I141" s="5"/>
      <c r="J141" s="5"/>
      <c r="K141" s="5"/>
      <c r="L141" s="5"/>
      <c r="M141" s="5"/>
    </row>
    <row r="142" spans="1:13" x14ac:dyDescent="0.3">
      <c r="B142" s="11" t="s">
        <v>954</v>
      </c>
      <c r="C142" s="6"/>
      <c r="D142" s="6"/>
      <c r="E142" s="6"/>
      <c r="F142" s="6"/>
      <c r="G142" s="6"/>
      <c r="H142" s="6"/>
      <c r="I142" s="5"/>
      <c r="J142" s="5"/>
      <c r="K142" s="5"/>
      <c r="L142" s="5"/>
      <c r="M142" s="5"/>
    </row>
    <row r="143" spans="1:13" x14ac:dyDescent="0.3">
      <c r="B143" s="11" t="s">
        <v>955</v>
      </c>
      <c r="C143" s="6"/>
      <c r="D143" s="6"/>
      <c r="E143" s="6"/>
      <c r="F143" s="6"/>
      <c r="G143" s="6"/>
      <c r="H143" s="6"/>
      <c r="I143" s="5"/>
      <c r="J143" s="5"/>
      <c r="K143" s="5"/>
      <c r="L143" s="5"/>
      <c r="M143" s="5"/>
    </row>
    <row r="144" spans="1:13" x14ac:dyDescent="0.3">
      <c r="B144" s="11" t="s">
        <v>956</v>
      </c>
      <c r="C144" s="6"/>
      <c r="D144" s="6"/>
      <c r="E144" s="6"/>
      <c r="F144" s="6"/>
      <c r="G144" s="6"/>
      <c r="H144" s="6"/>
      <c r="I144" s="5"/>
      <c r="J144" s="5"/>
      <c r="K144" s="5"/>
      <c r="L144" s="5"/>
      <c r="M144" s="5"/>
    </row>
    <row r="145" spans="1:13" x14ac:dyDescent="0.3">
      <c r="A145" s="22" t="s">
        <v>1060</v>
      </c>
      <c r="B145" s="11" t="s">
        <v>957</v>
      </c>
      <c r="C145" s="6"/>
      <c r="D145" s="6"/>
      <c r="E145" s="6"/>
      <c r="F145" s="6"/>
      <c r="G145" s="6"/>
      <c r="H145" s="6"/>
      <c r="I145" s="5"/>
      <c r="J145" s="5"/>
      <c r="K145" s="5"/>
      <c r="L145" s="5"/>
      <c r="M145" s="5"/>
    </row>
    <row r="146" spans="1:13" x14ac:dyDescent="0.3">
      <c r="B146" s="11" t="s">
        <v>948</v>
      </c>
      <c r="C146" s="6"/>
      <c r="D146" s="6"/>
      <c r="E146" s="6"/>
      <c r="F146" s="6"/>
      <c r="G146" s="6"/>
      <c r="H146" s="6"/>
      <c r="I146" s="5"/>
      <c r="J146" s="5"/>
      <c r="K146" s="5"/>
      <c r="L146" s="5"/>
      <c r="M146" s="5"/>
    </row>
    <row r="147" spans="1:13" x14ac:dyDescent="0.3">
      <c r="B147" s="11" t="s">
        <v>949</v>
      </c>
      <c r="C147" s="6"/>
      <c r="D147" s="6"/>
      <c r="E147" s="6"/>
      <c r="F147" s="6"/>
      <c r="G147" s="6"/>
      <c r="H147" s="6"/>
      <c r="I147" s="5"/>
      <c r="J147" s="5"/>
      <c r="K147" s="5"/>
      <c r="L147" s="5"/>
      <c r="M147" s="5"/>
    </row>
    <row r="148" spans="1:13" x14ac:dyDescent="0.3">
      <c r="B148" s="11" t="s">
        <v>950</v>
      </c>
      <c r="C148" s="6"/>
      <c r="D148" s="6"/>
      <c r="E148" s="6"/>
      <c r="F148" s="6"/>
      <c r="G148" s="6"/>
      <c r="H148" s="6"/>
      <c r="I148" s="5"/>
      <c r="J148" s="5"/>
      <c r="K148" s="5"/>
      <c r="L148" s="5"/>
      <c r="M148" s="5"/>
    </row>
    <row r="149" spans="1:13" x14ac:dyDescent="0.3">
      <c r="B149" s="11" t="s">
        <v>951</v>
      </c>
      <c r="C149" s="6"/>
      <c r="D149" s="6"/>
      <c r="E149" s="6"/>
      <c r="F149" s="6"/>
      <c r="G149" s="6"/>
      <c r="H149" s="6"/>
      <c r="I149" s="5"/>
      <c r="J149" s="5"/>
      <c r="K149" s="5"/>
      <c r="L149" s="5"/>
      <c r="M149" s="5"/>
    </row>
    <row r="150" spans="1:13" x14ac:dyDescent="0.3">
      <c r="A150" s="22" t="s">
        <v>1060</v>
      </c>
      <c r="B150" s="11" t="s">
        <v>952</v>
      </c>
      <c r="C150" s="6"/>
      <c r="D150" s="6"/>
      <c r="E150" s="6"/>
      <c r="F150" s="6"/>
      <c r="G150" s="6"/>
      <c r="H150" s="6"/>
      <c r="I150" s="5"/>
      <c r="J150" s="5"/>
      <c r="K150" s="5"/>
      <c r="L150" s="5"/>
      <c r="M150" s="5"/>
    </row>
    <row r="151" spans="1:13" x14ac:dyDescent="0.3">
      <c r="B151" s="11" t="s">
        <v>943</v>
      </c>
      <c r="C151" s="6"/>
      <c r="D151" s="6"/>
      <c r="E151" s="6"/>
      <c r="F151" s="6"/>
      <c r="G151" s="6"/>
      <c r="H151" s="6"/>
      <c r="I151" s="5"/>
      <c r="J151" s="5"/>
      <c r="K151" s="5"/>
      <c r="L151" s="5"/>
      <c r="M151" s="5"/>
    </row>
    <row r="152" spans="1:13" x14ac:dyDescent="0.3">
      <c r="B152" s="11" t="s">
        <v>947</v>
      </c>
      <c r="C152" s="6"/>
      <c r="D152" s="6"/>
      <c r="E152" s="6"/>
      <c r="F152" s="6"/>
      <c r="G152" s="6"/>
      <c r="H152" s="6"/>
      <c r="I152" s="5"/>
      <c r="J152" s="5"/>
      <c r="K152" s="5"/>
      <c r="L152" s="5"/>
      <c r="M152" s="5"/>
    </row>
    <row r="153" spans="1:13" x14ac:dyDescent="0.3">
      <c r="B153" s="11" t="s">
        <v>946</v>
      </c>
      <c r="C153" s="6"/>
      <c r="D153" s="6"/>
      <c r="E153" s="6"/>
      <c r="F153" s="6"/>
      <c r="G153" s="6"/>
      <c r="H153" s="6"/>
      <c r="I153" s="5"/>
      <c r="J153" s="5"/>
      <c r="K153" s="5"/>
      <c r="L153" s="5"/>
      <c r="M153" s="5"/>
    </row>
    <row r="154" spans="1:13" x14ac:dyDescent="0.3">
      <c r="B154" s="11" t="s">
        <v>945</v>
      </c>
      <c r="C154" s="6"/>
      <c r="D154" s="6"/>
      <c r="E154" s="6"/>
      <c r="F154" s="6"/>
      <c r="G154" s="6"/>
      <c r="H154" s="6"/>
      <c r="I154" s="5"/>
      <c r="J154" s="5"/>
      <c r="K154" s="5"/>
      <c r="L154" s="5"/>
      <c r="M154" s="5"/>
    </row>
    <row r="155" spans="1:13" x14ac:dyDescent="0.3">
      <c r="A155" s="22" t="s">
        <v>1060</v>
      </c>
      <c r="B155" s="11" t="s">
        <v>944</v>
      </c>
      <c r="C155" s="6"/>
      <c r="D155" s="6"/>
      <c r="E155" s="6"/>
      <c r="F155" s="6"/>
      <c r="G155" s="6"/>
      <c r="H155" s="6"/>
      <c r="I155" s="5"/>
      <c r="J155" s="5"/>
      <c r="K155" s="5"/>
      <c r="L155" s="5"/>
      <c r="M155" s="5"/>
    </row>
    <row r="156" spans="1:13" x14ac:dyDescent="0.3">
      <c r="B156" s="11" t="s">
        <v>938</v>
      </c>
      <c r="C156" s="6"/>
      <c r="D156" s="6"/>
      <c r="E156" s="6"/>
      <c r="F156" s="6"/>
      <c r="G156" s="6"/>
      <c r="H156" s="6"/>
      <c r="I156" s="5"/>
      <c r="J156" s="5"/>
      <c r="K156" s="5"/>
      <c r="L156" s="5"/>
      <c r="M156" s="5"/>
    </row>
    <row r="157" spans="1:13" x14ac:dyDescent="0.3">
      <c r="B157" s="11" t="s">
        <v>939</v>
      </c>
      <c r="C157" s="6"/>
      <c r="D157" s="6"/>
      <c r="E157" s="6"/>
      <c r="F157" s="6"/>
      <c r="G157" s="6"/>
      <c r="H157" s="6"/>
      <c r="I157" s="5"/>
      <c r="J157" s="5"/>
      <c r="K157" s="5"/>
      <c r="L157" s="5"/>
      <c r="M157" s="5"/>
    </row>
    <row r="158" spans="1:13" x14ac:dyDescent="0.3">
      <c r="B158" s="11" t="s">
        <v>940</v>
      </c>
      <c r="C158" s="115"/>
      <c r="D158" s="6"/>
      <c r="E158" s="6"/>
      <c r="F158" s="6"/>
      <c r="G158" s="6"/>
      <c r="H158" s="6"/>
      <c r="I158" s="5"/>
      <c r="J158" s="5"/>
      <c r="K158" s="5"/>
      <c r="L158" s="5"/>
      <c r="M158" s="5"/>
    </row>
    <row r="159" spans="1:13" x14ac:dyDescent="0.3">
      <c r="B159" s="11" t="s">
        <v>941</v>
      </c>
      <c r="C159" s="115"/>
      <c r="D159" s="6"/>
      <c r="E159" s="6"/>
      <c r="F159" s="6"/>
      <c r="G159" s="6"/>
      <c r="H159" s="6"/>
      <c r="I159" s="5"/>
      <c r="J159" s="5"/>
      <c r="K159" s="5"/>
      <c r="L159" s="5"/>
      <c r="M159" s="5"/>
    </row>
    <row r="160" spans="1:13" x14ac:dyDescent="0.3">
      <c r="A160" s="22" t="s">
        <v>1060</v>
      </c>
      <c r="B160" s="11" t="s">
        <v>942</v>
      </c>
      <c r="C160" s="6"/>
      <c r="D160" s="6"/>
      <c r="E160" s="6"/>
      <c r="F160" s="6"/>
      <c r="G160" s="6"/>
      <c r="H160" s="6"/>
      <c r="I160" s="5"/>
      <c r="J160" s="5"/>
      <c r="K160" s="5"/>
      <c r="L160" s="5"/>
      <c r="M160" s="5"/>
    </row>
    <row r="161" spans="1:13" x14ac:dyDescent="0.3">
      <c r="B161" s="11" t="s">
        <v>2626</v>
      </c>
      <c r="C161" s="6"/>
      <c r="D161" s="6"/>
      <c r="E161" s="6"/>
      <c r="F161" s="6"/>
      <c r="G161" s="6"/>
      <c r="H161" s="6"/>
      <c r="I161" s="5"/>
      <c r="J161" s="5"/>
      <c r="K161" s="5"/>
      <c r="L161" s="5"/>
      <c r="M161" s="5"/>
    </row>
    <row r="162" spans="1:13" x14ac:dyDescent="0.3">
      <c r="B162" s="11" t="s">
        <v>934</v>
      </c>
      <c r="C162" s="6"/>
      <c r="D162" s="6"/>
      <c r="E162" s="6"/>
      <c r="F162" s="6"/>
      <c r="G162" s="6"/>
      <c r="H162" s="6"/>
      <c r="I162" s="5"/>
      <c r="J162" s="5"/>
      <c r="K162" s="5"/>
      <c r="L162" s="5"/>
      <c r="M162" s="5"/>
    </row>
    <row r="163" spans="1:13" x14ac:dyDescent="0.3">
      <c r="B163" s="11" t="s">
        <v>935</v>
      </c>
      <c r="C163" s="6"/>
      <c r="D163" s="6"/>
      <c r="E163" s="6"/>
      <c r="F163" s="6"/>
      <c r="G163" s="6"/>
      <c r="H163" s="6"/>
      <c r="I163" s="5"/>
      <c r="J163" s="5"/>
      <c r="K163" s="5"/>
      <c r="L163" s="5"/>
      <c r="M163" s="5"/>
    </row>
    <row r="164" spans="1:13" x14ac:dyDescent="0.3">
      <c r="B164" s="11" t="s">
        <v>936</v>
      </c>
      <c r="C164" s="6"/>
      <c r="D164" s="6"/>
      <c r="E164" s="6"/>
      <c r="F164" s="6"/>
      <c r="G164" s="6"/>
      <c r="H164" s="6"/>
      <c r="I164" s="5"/>
      <c r="J164" s="5"/>
      <c r="K164" s="5"/>
      <c r="L164" s="5"/>
      <c r="M164" s="5"/>
    </row>
    <row r="165" spans="1:13" x14ac:dyDescent="0.3">
      <c r="A165" s="22" t="s">
        <v>1060</v>
      </c>
      <c r="B165" s="11" t="s">
        <v>937</v>
      </c>
      <c r="C165" s="6"/>
      <c r="D165" s="6"/>
      <c r="E165" s="6"/>
      <c r="F165" s="6"/>
      <c r="G165" s="6"/>
      <c r="H165" s="6"/>
      <c r="I165" s="5"/>
      <c r="J165" s="5"/>
      <c r="K165" s="5"/>
      <c r="L165" s="5"/>
      <c r="M165" s="5"/>
    </row>
    <row r="166" spans="1:13" x14ac:dyDescent="0.3">
      <c r="B166" s="17"/>
      <c r="C166" s="5" t="s">
        <v>511</v>
      </c>
      <c r="D166" s="5"/>
      <c r="E166" s="5"/>
      <c r="F166" s="5"/>
      <c r="G166" s="5"/>
      <c r="H166" s="5"/>
      <c r="I166" s="5"/>
      <c r="J166" s="5"/>
      <c r="K166" s="5"/>
      <c r="L166" s="5"/>
      <c r="M166" s="5"/>
    </row>
    <row r="167" spans="1:13" x14ac:dyDescent="0.3">
      <c r="B167" s="62" t="s">
        <v>32</v>
      </c>
      <c r="C167" s="21" t="s">
        <v>123</v>
      </c>
      <c r="D167" s="5" t="s">
        <v>124</v>
      </c>
      <c r="E167" s="5" t="s">
        <v>125</v>
      </c>
      <c r="F167" s="5" t="s">
        <v>126</v>
      </c>
      <c r="G167" s="5" t="s">
        <v>127</v>
      </c>
      <c r="H167" s="5" t="s">
        <v>128</v>
      </c>
      <c r="I167" s="5" t="s">
        <v>129</v>
      </c>
      <c r="J167" s="5" t="s">
        <v>130</v>
      </c>
      <c r="K167" s="5" t="s">
        <v>131</v>
      </c>
      <c r="L167" s="5" t="s">
        <v>132</v>
      </c>
      <c r="M167" s="5"/>
    </row>
    <row r="168" spans="1:13" x14ac:dyDescent="0.3">
      <c r="B168" s="11" t="s">
        <v>350</v>
      </c>
      <c r="C168" s="6"/>
      <c r="D168" s="5"/>
      <c r="E168" s="5"/>
      <c r="F168" s="5"/>
      <c r="G168" s="5"/>
      <c r="H168" s="5"/>
      <c r="I168" s="5"/>
      <c r="J168" s="5"/>
      <c r="K168" s="5"/>
      <c r="L168" s="5"/>
      <c r="M168" s="5"/>
    </row>
    <row r="169" spans="1:13" x14ac:dyDescent="0.3">
      <c r="B169" s="11" t="s">
        <v>351</v>
      </c>
      <c r="C169" s="6"/>
      <c r="D169" s="5"/>
      <c r="E169" s="5"/>
      <c r="F169" s="5"/>
      <c r="G169" s="5"/>
      <c r="H169" s="5"/>
      <c r="I169" s="5"/>
      <c r="J169" s="5"/>
      <c r="K169" s="5"/>
      <c r="L169" s="5"/>
      <c r="M169" s="5"/>
    </row>
    <row r="170" spans="1:13" x14ac:dyDescent="0.3">
      <c r="B170" s="11" t="s">
        <v>405</v>
      </c>
      <c r="C170" s="6"/>
      <c r="D170" s="5"/>
      <c r="E170" s="5"/>
      <c r="F170" s="5"/>
      <c r="G170" s="5"/>
      <c r="H170" s="5"/>
      <c r="I170" s="5"/>
      <c r="J170" s="5"/>
      <c r="K170" s="5"/>
      <c r="L170" s="5"/>
      <c r="M170" s="5"/>
    </row>
    <row r="171" spans="1:13" x14ac:dyDescent="0.3">
      <c r="B171" s="11" t="s">
        <v>406</v>
      </c>
      <c r="C171" s="6"/>
      <c r="D171" s="5"/>
      <c r="E171" s="5"/>
      <c r="F171" s="5"/>
      <c r="G171" s="5"/>
      <c r="H171" s="5"/>
      <c r="I171" s="5"/>
      <c r="J171" s="5"/>
      <c r="K171" s="5"/>
      <c r="L171" s="5"/>
      <c r="M171" s="5"/>
    </row>
    <row r="172" spans="1:13" x14ac:dyDescent="0.3">
      <c r="B172" s="11" t="s">
        <v>407</v>
      </c>
      <c r="C172" s="6"/>
      <c r="D172" s="5"/>
      <c r="E172" s="5"/>
      <c r="F172" s="5"/>
      <c r="G172" s="5"/>
      <c r="H172" s="5"/>
      <c r="I172" s="5"/>
      <c r="J172" s="5"/>
      <c r="K172" s="5"/>
      <c r="L172" s="5"/>
      <c r="M172" s="5"/>
    </row>
    <row r="173" spans="1:13" x14ac:dyDescent="0.3">
      <c r="B173" s="11" t="s">
        <v>408</v>
      </c>
      <c r="C173" s="6"/>
      <c r="D173" s="5"/>
      <c r="E173" s="5"/>
      <c r="F173" s="5"/>
      <c r="G173" s="5"/>
      <c r="H173" s="5"/>
      <c r="I173" s="5"/>
      <c r="J173" s="5"/>
      <c r="K173" s="5"/>
      <c r="L173" s="5"/>
      <c r="M173" s="5"/>
    </row>
    <row r="174" spans="1:13" x14ac:dyDescent="0.3">
      <c r="B174" s="11" t="s">
        <v>412</v>
      </c>
      <c r="C174" s="6"/>
      <c r="D174" s="5"/>
      <c r="E174" s="5"/>
      <c r="F174" s="5"/>
      <c r="G174" s="5"/>
      <c r="H174" s="5"/>
      <c r="I174" s="5"/>
      <c r="J174" s="5"/>
      <c r="K174" s="5"/>
      <c r="L174" s="5"/>
      <c r="M174" s="5"/>
    </row>
    <row r="175" spans="1:13" x14ac:dyDescent="0.3">
      <c r="B175" s="11" t="s">
        <v>411</v>
      </c>
      <c r="C175" s="6"/>
      <c r="D175" s="5"/>
      <c r="E175" s="5"/>
      <c r="F175" s="5"/>
      <c r="G175" s="5"/>
      <c r="H175" s="5"/>
      <c r="I175" s="5"/>
      <c r="J175" s="5"/>
      <c r="K175" s="5"/>
      <c r="L175" s="5"/>
      <c r="M175" s="5"/>
    </row>
    <row r="176" spans="1:13" x14ac:dyDescent="0.3">
      <c r="B176" s="11" t="s">
        <v>409</v>
      </c>
      <c r="C176" s="6"/>
      <c r="D176" s="5"/>
      <c r="E176" s="5"/>
      <c r="F176" s="5"/>
      <c r="G176" s="5"/>
      <c r="H176" s="5"/>
      <c r="I176" s="5"/>
      <c r="J176" s="5"/>
      <c r="K176" s="5"/>
      <c r="L176" s="5"/>
      <c r="M176" s="5"/>
    </row>
    <row r="177" spans="2:13" x14ac:dyDescent="0.3">
      <c r="B177" s="11" t="s">
        <v>410</v>
      </c>
      <c r="C177" s="6"/>
      <c r="D177" s="5"/>
      <c r="E177" s="5"/>
      <c r="F177" s="5"/>
      <c r="G177" s="5"/>
      <c r="H177" s="5"/>
      <c r="I177" s="5"/>
      <c r="J177" s="5"/>
      <c r="K177" s="5"/>
      <c r="L177" s="5"/>
      <c r="M177" s="5"/>
    </row>
    <row r="178" spans="2:13" x14ac:dyDescent="0.3">
      <c r="B178" s="11" t="s">
        <v>404</v>
      </c>
      <c r="C178" s="6"/>
      <c r="D178" s="5"/>
      <c r="E178" s="5"/>
      <c r="F178" s="5"/>
      <c r="G178" s="5"/>
      <c r="H178" s="5"/>
      <c r="I178" s="5"/>
      <c r="J178" s="5"/>
      <c r="K178" s="5"/>
      <c r="L178" s="5"/>
      <c r="M178" s="5"/>
    </row>
    <row r="179" spans="2:13" x14ac:dyDescent="0.3">
      <c r="B179" s="11" t="s">
        <v>399</v>
      </c>
      <c r="C179" s="6"/>
      <c r="D179" s="5"/>
      <c r="E179" s="5"/>
      <c r="F179" s="5"/>
      <c r="G179" s="5"/>
      <c r="H179" s="5"/>
      <c r="I179" s="5"/>
      <c r="J179" s="5"/>
      <c r="K179" s="5"/>
      <c r="L179" s="5"/>
      <c r="M179" s="5"/>
    </row>
    <row r="180" spans="2:13" x14ac:dyDescent="0.3">
      <c r="B180" s="11" t="s">
        <v>400</v>
      </c>
      <c r="C180" s="6"/>
      <c r="D180" s="5"/>
      <c r="E180" s="5"/>
      <c r="F180" s="5"/>
      <c r="G180" s="5"/>
      <c r="H180" s="5"/>
      <c r="I180" s="5"/>
      <c r="J180" s="5"/>
      <c r="K180" s="5"/>
      <c r="L180" s="5"/>
      <c r="M180" s="5"/>
    </row>
    <row r="181" spans="2:13" x14ac:dyDescent="0.3">
      <c r="B181" s="11" t="s">
        <v>414</v>
      </c>
      <c r="C181" s="6"/>
      <c r="D181" s="5"/>
      <c r="E181" s="5"/>
      <c r="F181" s="5"/>
      <c r="G181" s="5"/>
      <c r="H181" s="5"/>
      <c r="I181" s="5"/>
      <c r="J181" s="5"/>
      <c r="K181" s="5"/>
      <c r="L181" s="5"/>
      <c r="M181" s="5"/>
    </row>
    <row r="182" spans="2:13" x14ac:dyDescent="0.3">
      <c r="B182" s="11" t="s">
        <v>416</v>
      </c>
      <c r="C182" s="6"/>
      <c r="D182" s="5"/>
      <c r="E182" s="5"/>
      <c r="F182" s="5"/>
      <c r="G182" s="5"/>
      <c r="H182" s="5"/>
      <c r="I182" s="5"/>
      <c r="J182" s="5"/>
      <c r="K182" s="5"/>
      <c r="L182" s="5"/>
      <c r="M182" s="5"/>
    </row>
    <row r="183" spans="2:13" x14ac:dyDescent="0.3">
      <c r="B183" s="11" t="s">
        <v>403</v>
      </c>
      <c r="C183" s="6"/>
      <c r="D183" s="5"/>
      <c r="E183" s="5"/>
      <c r="F183" s="5"/>
      <c r="G183" s="5"/>
      <c r="H183" s="5"/>
      <c r="I183" s="5"/>
      <c r="J183" s="5"/>
      <c r="K183" s="5"/>
      <c r="L183" s="5"/>
      <c r="M183" s="5"/>
    </row>
    <row r="184" spans="2:13" x14ac:dyDescent="0.3">
      <c r="B184" s="11" t="s">
        <v>402</v>
      </c>
      <c r="C184" s="6"/>
      <c r="D184" s="5"/>
      <c r="E184" s="5"/>
      <c r="F184" s="5"/>
      <c r="G184" s="5"/>
      <c r="H184" s="5"/>
      <c r="I184" s="5"/>
      <c r="J184" s="5"/>
      <c r="K184" s="5"/>
      <c r="L184" s="5"/>
      <c r="M184" s="5"/>
    </row>
    <row r="185" spans="2:13" x14ac:dyDescent="0.3">
      <c r="B185" s="11" t="s">
        <v>401</v>
      </c>
      <c r="C185" s="6"/>
      <c r="D185" s="5"/>
      <c r="E185" s="5"/>
      <c r="F185" s="5"/>
      <c r="G185" s="5"/>
      <c r="H185" s="5"/>
      <c r="I185" s="5"/>
      <c r="J185" s="5"/>
      <c r="K185" s="5"/>
      <c r="L185" s="5"/>
      <c r="M185" s="5"/>
    </row>
    <row r="186" spans="2:13" x14ac:dyDescent="0.3">
      <c r="B186" s="11" t="s">
        <v>413</v>
      </c>
      <c r="C186" s="6"/>
      <c r="D186" s="5"/>
      <c r="E186" s="5"/>
      <c r="F186" s="5"/>
      <c r="G186" s="5"/>
      <c r="H186" s="5"/>
      <c r="I186" s="5"/>
      <c r="J186" s="5"/>
      <c r="K186" s="5"/>
      <c r="L186" s="5"/>
      <c r="M186" s="5"/>
    </row>
    <row r="187" spans="2:13" x14ac:dyDescent="0.3">
      <c r="B187" s="11" t="s">
        <v>415</v>
      </c>
      <c r="C187" s="6"/>
      <c r="D187" s="5"/>
      <c r="E187" s="5"/>
      <c r="F187" s="5"/>
      <c r="G187" s="5"/>
      <c r="H187" s="5"/>
      <c r="I187" s="5"/>
      <c r="J187" s="5"/>
      <c r="K187" s="5"/>
      <c r="L187" s="5"/>
      <c r="M187" s="5"/>
    </row>
    <row r="188" spans="2:13" x14ac:dyDescent="0.3">
      <c r="B188" s="17"/>
      <c r="C188" s="5" t="s">
        <v>511</v>
      </c>
      <c r="D188" s="5"/>
      <c r="E188" s="5"/>
      <c r="F188" s="5"/>
      <c r="G188" s="5"/>
      <c r="H188" s="5"/>
      <c r="I188" s="5"/>
      <c r="J188" s="5"/>
      <c r="K188" s="5"/>
      <c r="L188" s="5"/>
      <c r="M188" s="5"/>
    </row>
    <row r="189" spans="2:13" x14ac:dyDescent="0.3">
      <c r="B189" s="62" t="s">
        <v>269</v>
      </c>
      <c r="C189" s="21" t="s">
        <v>270</v>
      </c>
      <c r="D189" s="5" t="s">
        <v>271</v>
      </c>
      <c r="E189" s="5" t="s">
        <v>272</v>
      </c>
      <c r="F189" s="5" t="s">
        <v>273</v>
      </c>
      <c r="G189" s="5" t="s">
        <v>274</v>
      </c>
      <c r="H189" s="5" t="s">
        <v>275</v>
      </c>
      <c r="I189" s="5" t="s">
        <v>276</v>
      </c>
      <c r="J189" s="5" t="s">
        <v>277</v>
      </c>
      <c r="K189" s="5" t="s">
        <v>278</v>
      </c>
      <c r="L189" s="5" t="s">
        <v>279</v>
      </c>
      <c r="M189" s="5"/>
    </row>
    <row r="190" spans="2:13" x14ac:dyDescent="0.3">
      <c r="B190" s="11" t="s">
        <v>424</v>
      </c>
      <c r="C190" s="6">
        <v>396</v>
      </c>
      <c r="D190" s="5"/>
      <c r="E190" s="5"/>
      <c r="F190" s="5"/>
      <c r="G190" s="5"/>
      <c r="H190" s="5"/>
      <c r="I190" s="5"/>
      <c r="J190" s="5"/>
      <c r="K190" s="5"/>
      <c r="L190" s="5"/>
      <c r="M190" s="5"/>
    </row>
    <row r="191" spans="2:13" x14ac:dyDescent="0.3">
      <c r="B191" s="11" t="s">
        <v>423</v>
      </c>
      <c r="C191" s="6">
        <v>0</v>
      </c>
      <c r="D191" s="5"/>
      <c r="E191" s="5"/>
      <c r="F191" s="5"/>
      <c r="G191" s="5"/>
      <c r="H191" s="5"/>
      <c r="I191" s="5"/>
      <c r="J191" s="5"/>
      <c r="K191" s="5"/>
      <c r="L191" s="5"/>
      <c r="M191" s="5"/>
    </row>
    <row r="192" spans="2:13" x14ac:dyDescent="0.3">
      <c r="B192" s="11" t="s">
        <v>425</v>
      </c>
      <c r="C192" s="6">
        <v>16.100000000000001</v>
      </c>
      <c r="D192" s="5"/>
      <c r="E192" s="5"/>
      <c r="F192" s="5"/>
      <c r="G192" s="5"/>
      <c r="H192" s="5"/>
      <c r="I192" s="5"/>
      <c r="J192" s="5"/>
      <c r="K192" s="5"/>
      <c r="L192" s="5"/>
      <c r="M192" s="5"/>
    </row>
    <row r="193" spans="2:13" x14ac:dyDescent="0.3">
      <c r="B193" s="11" t="s">
        <v>426</v>
      </c>
      <c r="C193" s="6">
        <v>600</v>
      </c>
      <c r="D193" s="5"/>
      <c r="E193" s="5"/>
      <c r="F193" s="5"/>
      <c r="G193" s="5"/>
      <c r="H193" s="5"/>
      <c r="I193" s="5"/>
      <c r="J193" s="5"/>
      <c r="K193" s="5"/>
      <c r="L193" s="5"/>
      <c r="M193" s="5"/>
    </row>
    <row r="194" spans="2:13" x14ac:dyDescent="0.3">
      <c r="B194" s="11" t="s">
        <v>427</v>
      </c>
      <c r="C194" s="6">
        <v>1.5</v>
      </c>
      <c r="D194" s="5"/>
      <c r="E194" s="5"/>
      <c r="F194" s="5"/>
      <c r="G194" s="5"/>
      <c r="H194" s="5"/>
      <c r="I194" s="5"/>
      <c r="J194" s="5"/>
      <c r="K194" s="5"/>
      <c r="L194" s="5"/>
      <c r="M194" s="5"/>
    </row>
    <row r="195" spans="2:13" x14ac:dyDescent="0.3">
      <c r="B195" s="11" t="s">
        <v>428</v>
      </c>
      <c r="C195" s="6">
        <v>0</v>
      </c>
      <c r="D195" s="5"/>
      <c r="E195" s="5"/>
      <c r="F195" s="5"/>
      <c r="G195" s="5"/>
      <c r="H195" s="5"/>
      <c r="I195" s="5"/>
      <c r="J195" s="5"/>
      <c r="K195" s="5"/>
      <c r="L195" s="5"/>
      <c r="M195" s="5"/>
    </row>
    <row r="196" spans="2:13" x14ac:dyDescent="0.3">
      <c r="B196" s="11" t="s">
        <v>429</v>
      </c>
      <c r="C196" s="6">
        <v>0</v>
      </c>
      <c r="D196" s="5"/>
      <c r="E196" s="5"/>
      <c r="F196" s="5"/>
      <c r="G196" s="5"/>
      <c r="H196" s="5"/>
      <c r="I196" s="5"/>
      <c r="J196" s="5"/>
      <c r="K196" s="5"/>
      <c r="L196" s="5"/>
      <c r="M196" s="5"/>
    </row>
    <row r="197" spans="2:13" x14ac:dyDescent="0.3">
      <c r="B197" s="11" t="s">
        <v>516</v>
      </c>
      <c r="C197" s="6" t="s">
        <v>2643</v>
      </c>
      <c r="D197" s="5"/>
      <c r="E197" s="5"/>
      <c r="F197" s="5"/>
      <c r="G197" s="5"/>
      <c r="H197" s="5"/>
      <c r="I197" s="5"/>
      <c r="J197" s="5"/>
      <c r="K197" s="5"/>
      <c r="L197" s="5"/>
      <c r="M197" s="5"/>
    </row>
    <row r="198" spans="2:13" x14ac:dyDescent="0.3">
      <c r="B198" s="11" t="s">
        <v>430</v>
      </c>
      <c r="C198" s="6" t="s">
        <v>2644</v>
      </c>
      <c r="D198" s="5"/>
      <c r="E198" s="5"/>
      <c r="F198" s="5"/>
      <c r="G198" s="5"/>
      <c r="H198" s="5"/>
      <c r="I198" s="5"/>
      <c r="J198" s="5"/>
      <c r="K198" s="5"/>
      <c r="L198" s="5"/>
      <c r="M198" s="5"/>
    </row>
    <row r="199" spans="2:13" x14ac:dyDescent="0.3">
      <c r="B199" s="11" t="s">
        <v>431</v>
      </c>
      <c r="C199" s="6">
        <v>0</v>
      </c>
      <c r="D199" s="5"/>
      <c r="E199" s="5"/>
      <c r="F199" s="5"/>
      <c r="G199" s="5"/>
      <c r="H199" s="5"/>
      <c r="I199" s="5"/>
      <c r="J199" s="5"/>
      <c r="K199" s="5"/>
      <c r="L199" s="5"/>
      <c r="M199" s="5"/>
    </row>
    <row r="200" spans="2:13" x14ac:dyDescent="0.3">
      <c r="B200" s="11" t="s">
        <v>432</v>
      </c>
      <c r="C200" s="6">
        <v>0</v>
      </c>
      <c r="D200" s="5"/>
      <c r="E200" s="5"/>
      <c r="F200" s="5"/>
      <c r="G200" s="5"/>
      <c r="H200" s="5"/>
      <c r="I200" s="5"/>
      <c r="J200" s="5"/>
      <c r="K200" s="5"/>
      <c r="L200" s="5"/>
      <c r="M200" s="5"/>
    </row>
    <row r="201" spans="2:13" x14ac:dyDescent="0.3">
      <c r="B201" s="11" t="s">
        <v>433</v>
      </c>
      <c r="C201" s="6">
        <v>2</v>
      </c>
      <c r="D201" s="5"/>
      <c r="E201" s="5"/>
      <c r="F201" s="5"/>
      <c r="G201" s="5"/>
      <c r="H201" s="5"/>
      <c r="I201" s="5"/>
      <c r="J201" s="5"/>
      <c r="K201" s="5"/>
      <c r="L201" s="5"/>
      <c r="M201" s="5"/>
    </row>
    <row r="202" spans="2:13" x14ac:dyDescent="0.3">
      <c r="B202" s="11" t="s">
        <v>417</v>
      </c>
      <c r="C202" s="6">
        <v>34</v>
      </c>
      <c r="D202" s="5"/>
      <c r="E202" s="5"/>
      <c r="F202" s="5"/>
      <c r="G202" s="5"/>
      <c r="H202" s="5"/>
      <c r="I202" s="5"/>
      <c r="J202" s="5"/>
      <c r="K202" s="5"/>
      <c r="L202" s="5"/>
      <c r="M202" s="5"/>
    </row>
    <row r="203" spans="2:13" x14ac:dyDescent="0.3">
      <c r="B203" s="11" t="s">
        <v>434</v>
      </c>
      <c r="C203" s="6" t="s">
        <v>2644</v>
      </c>
      <c r="D203" s="5"/>
      <c r="E203" s="5"/>
      <c r="F203" s="5"/>
      <c r="G203" s="5"/>
      <c r="H203" s="5"/>
      <c r="I203" s="5"/>
      <c r="J203" s="5"/>
      <c r="K203" s="5"/>
      <c r="L203" s="5"/>
      <c r="M203" s="5"/>
    </row>
    <row r="204" spans="2:13" x14ac:dyDescent="0.3">
      <c r="B204" s="11" t="s">
        <v>518</v>
      </c>
      <c r="C204" s="6">
        <v>0</v>
      </c>
      <c r="D204" s="5"/>
      <c r="E204" s="5"/>
      <c r="F204" s="5"/>
      <c r="G204" s="5"/>
      <c r="H204" s="5"/>
      <c r="I204" s="5"/>
      <c r="J204" s="5"/>
      <c r="K204" s="5"/>
      <c r="L204" s="5"/>
      <c r="M204" s="5"/>
    </row>
    <row r="205" spans="2:13" x14ac:dyDescent="0.3">
      <c r="B205" s="11" t="s">
        <v>432</v>
      </c>
      <c r="C205" s="6">
        <v>0</v>
      </c>
      <c r="D205" s="5"/>
      <c r="E205" s="5"/>
      <c r="F205" s="5"/>
      <c r="G205" s="5"/>
      <c r="H205" s="5"/>
      <c r="I205" s="5"/>
      <c r="J205" s="5"/>
      <c r="K205" s="5"/>
      <c r="L205" s="5"/>
      <c r="M205" s="5"/>
    </row>
    <row r="206" spans="2:13" x14ac:dyDescent="0.3">
      <c r="B206" s="11" t="s">
        <v>435</v>
      </c>
      <c r="C206" s="6">
        <v>2</v>
      </c>
      <c r="D206" s="5"/>
      <c r="E206" s="5"/>
      <c r="F206" s="5"/>
      <c r="G206" s="5"/>
      <c r="H206" s="5"/>
      <c r="I206" s="5"/>
      <c r="J206" s="5"/>
      <c r="K206" s="5"/>
      <c r="L206" s="5"/>
      <c r="M206" s="5"/>
    </row>
    <row r="207" spans="2:13" x14ac:dyDescent="0.3">
      <c r="B207" s="11" t="s">
        <v>517</v>
      </c>
      <c r="C207" s="6">
        <v>34</v>
      </c>
      <c r="D207" s="5"/>
      <c r="E207" s="5"/>
      <c r="F207" s="5"/>
      <c r="G207" s="5"/>
      <c r="H207" s="5"/>
      <c r="I207" s="5"/>
      <c r="J207" s="5"/>
      <c r="K207" s="5"/>
      <c r="L207" s="5"/>
      <c r="M207" s="5"/>
    </row>
    <row r="208" spans="2:13" x14ac:dyDescent="0.3">
      <c r="B208" s="11" t="s">
        <v>508</v>
      </c>
      <c r="C208" s="6" t="s">
        <v>17</v>
      </c>
      <c r="D208" s="5"/>
      <c r="E208" s="5"/>
      <c r="F208" s="5"/>
      <c r="G208" s="5"/>
      <c r="H208" s="5"/>
      <c r="I208" s="5"/>
      <c r="J208" s="5"/>
      <c r="K208" s="5"/>
      <c r="L208" s="5"/>
      <c r="M208" s="5"/>
    </row>
    <row r="209" spans="2:13" x14ac:dyDescent="0.3">
      <c r="B209" s="11" t="s">
        <v>1252</v>
      </c>
      <c r="C209" s="6">
        <v>0</v>
      </c>
      <c r="D209" s="5"/>
      <c r="E209" s="5"/>
      <c r="F209" s="5"/>
      <c r="G209" s="5"/>
      <c r="H209" s="5"/>
      <c r="I209" s="5"/>
      <c r="J209" s="5"/>
      <c r="K209" s="5"/>
      <c r="L209" s="5"/>
      <c r="M209" s="5"/>
    </row>
    <row r="210" spans="2:13" x14ac:dyDescent="0.3">
      <c r="B210" s="11" t="s">
        <v>520</v>
      </c>
      <c r="C210" s="6">
        <v>0</v>
      </c>
      <c r="D210" s="5"/>
      <c r="E210" s="5"/>
      <c r="F210" s="5"/>
      <c r="G210" s="5"/>
      <c r="H210" s="5"/>
      <c r="I210" s="5"/>
      <c r="J210" s="5"/>
      <c r="K210" s="5"/>
      <c r="L210" s="5"/>
      <c r="M210" s="5"/>
    </row>
    <row r="211" spans="2:13" x14ac:dyDescent="0.3">
      <c r="B211" s="11" t="s">
        <v>509</v>
      </c>
      <c r="C211" s="6">
        <v>0</v>
      </c>
      <c r="D211" s="5"/>
      <c r="E211" s="5"/>
      <c r="F211" s="5"/>
      <c r="G211" s="5"/>
      <c r="H211" s="5"/>
      <c r="I211" s="5"/>
      <c r="J211" s="5"/>
      <c r="K211" s="5"/>
      <c r="L211" s="5"/>
      <c r="M211" s="5"/>
    </row>
    <row r="212" spans="2:13" x14ac:dyDescent="0.3">
      <c r="B212" s="11" t="s">
        <v>510</v>
      </c>
      <c r="C212" s="6">
        <v>0</v>
      </c>
      <c r="D212" s="5"/>
      <c r="E212" s="5"/>
      <c r="F212" s="5"/>
      <c r="G212" s="5"/>
      <c r="H212" s="5"/>
      <c r="I212" s="5"/>
      <c r="J212" s="5"/>
      <c r="K212" s="5"/>
      <c r="L212" s="5"/>
      <c r="M212" s="5"/>
    </row>
    <row r="213" spans="2:13" x14ac:dyDescent="0.3">
      <c r="B213" s="17"/>
      <c r="C213" s="5" t="s">
        <v>511</v>
      </c>
      <c r="D213" s="5"/>
      <c r="E213" s="5"/>
      <c r="F213" s="5"/>
      <c r="G213" s="5"/>
      <c r="H213" s="5"/>
      <c r="I213" s="5"/>
      <c r="J213" s="5"/>
      <c r="K213" s="5"/>
      <c r="L213" s="5"/>
      <c r="M213" s="5"/>
    </row>
    <row r="214" spans="2:13" x14ac:dyDescent="0.3">
      <c r="B214" s="62" t="s">
        <v>33</v>
      </c>
      <c r="C214" s="21" t="s">
        <v>141</v>
      </c>
      <c r="D214" s="5" t="s">
        <v>133</v>
      </c>
      <c r="E214" s="5" t="s">
        <v>1089</v>
      </c>
      <c r="F214" s="5" t="s">
        <v>134</v>
      </c>
      <c r="G214" s="5" t="s">
        <v>135</v>
      </c>
      <c r="H214" s="5" t="s">
        <v>136</v>
      </c>
      <c r="I214" s="5" t="s">
        <v>137</v>
      </c>
      <c r="J214" s="5" t="s">
        <v>138</v>
      </c>
      <c r="K214" s="5" t="s">
        <v>139</v>
      </c>
      <c r="L214" s="5" t="s">
        <v>140</v>
      </c>
      <c r="M214" s="5"/>
    </row>
    <row r="215" spans="2:13" x14ac:dyDescent="0.3">
      <c r="B215" s="11" t="s">
        <v>353</v>
      </c>
      <c r="C215" s="6"/>
      <c r="D215" s="5"/>
      <c r="E215" s="5"/>
      <c r="F215" s="5"/>
      <c r="G215" s="5"/>
      <c r="H215" s="5"/>
      <c r="I215" s="5"/>
      <c r="J215" s="5"/>
      <c r="K215" s="5"/>
      <c r="L215" s="5"/>
      <c r="M215" s="5"/>
    </row>
    <row r="216" spans="2:13" x14ac:dyDescent="0.3">
      <c r="B216" s="11" t="s">
        <v>352</v>
      </c>
      <c r="C216" s="6"/>
      <c r="D216" s="5"/>
      <c r="E216" s="5"/>
      <c r="F216" s="5"/>
      <c r="G216" s="5"/>
      <c r="H216" s="5"/>
      <c r="I216" s="5"/>
      <c r="J216" s="5"/>
      <c r="K216" s="5"/>
      <c r="L216" s="5"/>
      <c r="M216" s="5"/>
    </row>
    <row r="217" spans="2:13" x14ac:dyDescent="0.3">
      <c r="B217" s="11" t="s">
        <v>512</v>
      </c>
      <c r="C217" s="6"/>
      <c r="D217" s="5"/>
      <c r="E217" s="5"/>
      <c r="F217" s="5"/>
      <c r="G217" s="5"/>
      <c r="H217" s="5"/>
      <c r="I217" s="5"/>
      <c r="J217" s="5"/>
      <c r="K217" s="5"/>
      <c r="L217" s="5"/>
      <c r="M217" s="5"/>
    </row>
    <row r="218" spans="2:13" x14ac:dyDescent="0.3">
      <c r="B218" s="11" t="s">
        <v>533</v>
      </c>
      <c r="C218" s="6"/>
      <c r="D218" s="5"/>
      <c r="E218" s="5"/>
      <c r="F218" s="5"/>
      <c r="G218" s="5"/>
      <c r="H218" s="5"/>
      <c r="I218" s="5"/>
      <c r="J218" s="5"/>
      <c r="K218" s="5"/>
      <c r="L218" s="5"/>
      <c r="M218" s="5"/>
    </row>
    <row r="219" spans="2:13" x14ac:dyDescent="0.3">
      <c r="B219" s="11" t="s">
        <v>535</v>
      </c>
      <c r="C219" s="6"/>
      <c r="D219" s="5"/>
      <c r="E219" s="5"/>
      <c r="F219" s="5"/>
      <c r="G219" s="5"/>
      <c r="H219" s="5"/>
      <c r="I219" s="5"/>
      <c r="J219" s="5"/>
      <c r="K219" s="5"/>
      <c r="L219" s="5"/>
      <c r="M219" s="5"/>
    </row>
    <row r="220" spans="2:13" x14ac:dyDescent="0.3">
      <c r="B220" s="11" t="s">
        <v>513</v>
      </c>
      <c r="C220" s="6"/>
      <c r="D220" s="5"/>
      <c r="E220" s="5"/>
      <c r="F220" s="5"/>
      <c r="G220" s="5"/>
      <c r="H220" s="5"/>
      <c r="I220" s="5"/>
      <c r="J220" s="5"/>
      <c r="K220" s="5"/>
      <c r="L220" s="5"/>
      <c r="M220" s="5"/>
    </row>
    <row r="221" spans="2:13" x14ac:dyDescent="0.3">
      <c r="B221" s="11" t="s">
        <v>534</v>
      </c>
      <c r="C221" s="6"/>
      <c r="D221" s="5"/>
      <c r="E221" s="5"/>
      <c r="F221" s="5"/>
      <c r="G221" s="5"/>
      <c r="H221" s="5"/>
      <c r="I221" s="5"/>
      <c r="J221" s="5"/>
      <c r="K221" s="5"/>
      <c r="L221" s="5"/>
      <c r="M221" s="5"/>
    </row>
    <row r="222" spans="2:13" x14ac:dyDescent="0.3">
      <c r="B222" s="11" t="s">
        <v>536</v>
      </c>
      <c r="C222" s="6"/>
      <c r="D222" s="5"/>
      <c r="E222" s="5"/>
      <c r="F222" s="5"/>
      <c r="G222" s="5"/>
      <c r="H222" s="5"/>
      <c r="I222" s="5"/>
      <c r="J222" s="5"/>
      <c r="K222" s="5"/>
      <c r="L222" s="5"/>
      <c r="M222" s="5"/>
    </row>
    <row r="223" spans="2:13" x14ac:dyDescent="0.3">
      <c r="B223" s="11" t="s">
        <v>514</v>
      </c>
      <c r="C223" s="6"/>
      <c r="D223" s="5"/>
      <c r="E223" s="5"/>
      <c r="F223" s="5"/>
      <c r="G223" s="5"/>
      <c r="H223" s="5"/>
      <c r="I223" s="5"/>
      <c r="J223" s="5"/>
      <c r="K223" s="5"/>
      <c r="L223" s="5"/>
      <c r="M223" s="5"/>
    </row>
    <row r="224" spans="2:13" x14ac:dyDescent="0.3">
      <c r="B224" s="11" t="s">
        <v>515</v>
      </c>
      <c r="C224" s="6"/>
      <c r="D224" s="5"/>
      <c r="E224" s="5"/>
      <c r="F224" s="5"/>
      <c r="G224" s="5"/>
      <c r="H224" s="5"/>
      <c r="I224" s="5"/>
      <c r="J224" s="5"/>
      <c r="K224" s="5"/>
      <c r="L224" s="5"/>
      <c r="M224" s="5"/>
    </row>
    <row r="225" spans="2:13" x14ac:dyDescent="0.3">
      <c r="B225" s="11" t="s">
        <v>529</v>
      </c>
      <c r="C225" s="6"/>
      <c r="D225" s="5"/>
      <c r="E225" s="5"/>
      <c r="F225" s="5"/>
      <c r="G225" s="5"/>
      <c r="H225" s="5"/>
      <c r="I225" s="5"/>
      <c r="J225" s="5"/>
      <c r="K225" s="5"/>
      <c r="L225" s="5"/>
      <c r="M225" s="5"/>
    </row>
    <row r="226" spans="2:13" x14ac:dyDescent="0.3">
      <c r="B226" s="11" t="s">
        <v>530</v>
      </c>
      <c r="C226" s="6"/>
      <c r="D226" s="5"/>
      <c r="E226" s="5"/>
      <c r="F226" s="5"/>
      <c r="G226" s="5"/>
      <c r="H226" s="5"/>
      <c r="I226" s="5"/>
      <c r="J226" s="5"/>
      <c r="K226" s="5"/>
      <c r="L226" s="5"/>
      <c r="M226" s="5"/>
    </row>
    <row r="227" spans="2:13" x14ac:dyDescent="0.3">
      <c r="B227" s="11" t="s">
        <v>531</v>
      </c>
      <c r="C227" s="6"/>
      <c r="D227" s="5"/>
      <c r="E227" s="5"/>
      <c r="F227" s="5"/>
      <c r="G227" s="5"/>
      <c r="H227" s="5"/>
      <c r="I227" s="5"/>
      <c r="J227" s="5"/>
      <c r="K227" s="5"/>
      <c r="L227" s="5"/>
      <c r="M227" s="5"/>
    </row>
    <row r="228" spans="2:13" x14ac:dyDescent="0.3">
      <c r="B228" s="11" t="s">
        <v>532</v>
      </c>
      <c r="C228" s="6"/>
      <c r="D228" s="5"/>
      <c r="E228" s="5"/>
      <c r="F228" s="5"/>
      <c r="G228" s="5"/>
      <c r="H228" s="5"/>
      <c r="I228" s="5"/>
      <c r="J228" s="5"/>
      <c r="K228" s="5"/>
      <c r="L228" s="5"/>
      <c r="M228" s="5"/>
    </row>
    <row r="229" spans="2:13" x14ac:dyDescent="0.3">
      <c r="B229" s="11" t="s">
        <v>519</v>
      </c>
      <c r="C229" s="6"/>
      <c r="D229" s="5"/>
      <c r="E229" s="5"/>
      <c r="F229" s="5"/>
      <c r="G229" s="5"/>
      <c r="H229" s="5"/>
      <c r="I229" s="5"/>
      <c r="J229" s="5"/>
      <c r="K229" s="5"/>
      <c r="L229" s="5"/>
      <c r="M229" s="5"/>
    </row>
    <row r="230" spans="2:13" x14ac:dyDescent="0.3">
      <c r="B230" s="11" t="s">
        <v>1253</v>
      </c>
      <c r="C230" s="6"/>
      <c r="D230" s="5"/>
      <c r="E230" s="5"/>
      <c r="F230" s="5"/>
      <c r="G230" s="5"/>
      <c r="H230" s="5"/>
      <c r="I230" s="5"/>
      <c r="J230" s="5"/>
      <c r="K230" s="5"/>
      <c r="L230" s="5"/>
      <c r="M230" s="5"/>
    </row>
    <row r="231" spans="2:13" x14ac:dyDescent="0.3">
      <c r="B231" s="11" t="s">
        <v>528</v>
      </c>
      <c r="C231" s="6"/>
      <c r="D231" s="5"/>
      <c r="E231" s="5"/>
      <c r="F231" s="5"/>
      <c r="G231" s="5"/>
      <c r="H231" s="5"/>
      <c r="I231" s="5"/>
      <c r="J231" s="5"/>
      <c r="K231" s="5"/>
      <c r="L231" s="5"/>
      <c r="M231" s="5"/>
    </row>
    <row r="232" spans="2:13" x14ac:dyDescent="0.3">
      <c r="B232" s="11" t="s">
        <v>525</v>
      </c>
      <c r="C232" s="6"/>
      <c r="D232" s="5"/>
      <c r="E232" s="5"/>
      <c r="F232" s="5"/>
      <c r="G232" s="5"/>
      <c r="H232" s="5"/>
      <c r="I232" s="5"/>
      <c r="J232" s="5"/>
      <c r="K232" s="5"/>
      <c r="L232" s="5"/>
      <c r="M232" s="5"/>
    </row>
    <row r="233" spans="2:13" x14ac:dyDescent="0.3">
      <c r="B233" s="11" t="s">
        <v>527</v>
      </c>
      <c r="C233" s="6"/>
      <c r="D233" s="5"/>
      <c r="E233" s="5"/>
      <c r="F233" s="5"/>
      <c r="G233" s="5"/>
      <c r="H233" s="5"/>
      <c r="I233" s="5"/>
      <c r="J233" s="5"/>
      <c r="K233" s="5"/>
      <c r="L233" s="5"/>
      <c r="M233" s="5"/>
    </row>
    <row r="234" spans="2:13" x14ac:dyDescent="0.3">
      <c r="B234" s="11" t="s">
        <v>526</v>
      </c>
      <c r="C234" s="6"/>
      <c r="D234" s="5"/>
      <c r="E234" s="5"/>
      <c r="F234" s="5"/>
      <c r="G234" s="5"/>
      <c r="H234" s="5"/>
      <c r="I234" s="5"/>
      <c r="J234" s="5"/>
      <c r="K234" s="5"/>
      <c r="L234" s="5"/>
      <c r="M234" s="5"/>
    </row>
    <row r="235" spans="2:13" x14ac:dyDescent="0.3">
      <c r="B235" s="11" t="s">
        <v>418</v>
      </c>
      <c r="C235" s="6"/>
      <c r="D235" s="5"/>
      <c r="E235" s="5"/>
      <c r="F235" s="5"/>
      <c r="G235" s="5"/>
      <c r="H235" s="5"/>
      <c r="I235" s="5"/>
      <c r="J235" s="5"/>
      <c r="K235" s="5"/>
      <c r="L235" s="5"/>
      <c r="M235" s="5"/>
    </row>
    <row r="236" spans="2:13" x14ac:dyDescent="0.3">
      <c r="B236" s="11" t="s">
        <v>537</v>
      </c>
      <c r="C236" s="6"/>
      <c r="D236" s="5"/>
      <c r="E236" s="5"/>
      <c r="F236" s="5"/>
      <c r="G236" s="5"/>
      <c r="H236" s="5"/>
      <c r="I236" s="5"/>
      <c r="J236" s="5"/>
      <c r="K236" s="5"/>
      <c r="L236" s="5"/>
      <c r="M236" s="5"/>
    </row>
    <row r="237" spans="2:13" x14ac:dyDescent="0.3">
      <c r="B237" s="11" t="s">
        <v>538</v>
      </c>
      <c r="C237" s="6"/>
      <c r="D237" s="5"/>
      <c r="E237" s="5"/>
      <c r="F237" s="5"/>
      <c r="G237" s="5"/>
      <c r="H237" s="5"/>
      <c r="I237" s="5"/>
      <c r="J237" s="5"/>
      <c r="K237" s="5"/>
      <c r="L237" s="5"/>
      <c r="M237" s="5"/>
    </row>
    <row r="238" spans="2:13" x14ac:dyDescent="0.3">
      <c r="B238" s="11" t="s">
        <v>539</v>
      </c>
      <c r="C238" s="6"/>
      <c r="D238" s="5"/>
      <c r="E238" s="5"/>
      <c r="F238" s="5"/>
      <c r="G238" s="5"/>
      <c r="H238" s="5"/>
      <c r="I238" s="5"/>
      <c r="J238" s="5"/>
      <c r="K238" s="5"/>
      <c r="L238" s="5"/>
      <c r="M238" s="5"/>
    </row>
    <row r="239" spans="2:13" x14ac:dyDescent="0.3">
      <c r="B239" s="11" t="s">
        <v>540</v>
      </c>
      <c r="C239" s="6"/>
      <c r="D239" s="5"/>
      <c r="E239" s="5"/>
      <c r="F239" s="5"/>
      <c r="G239" s="5"/>
      <c r="H239" s="5"/>
      <c r="I239" s="5"/>
      <c r="J239" s="5"/>
      <c r="K239" s="5"/>
      <c r="L239" s="5"/>
      <c r="M239" s="5"/>
    </row>
    <row r="240" spans="2:13" x14ac:dyDescent="0.3">
      <c r="B240" s="11" t="s">
        <v>419</v>
      </c>
      <c r="C240" s="6"/>
      <c r="D240" s="5"/>
      <c r="E240" s="5"/>
      <c r="F240" s="5"/>
      <c r="G240" s="5"/>
      <c r="H240" s="5"/>
      <c r="I240" s="5"/>
      <c r="J240" s="5"/>
      <c r="K240" s="5"/>
      <c r="L240" s="5"/>
      <c r="M240" s="5"/>
    </row>
    <row r="241" spans="2:13" x14ac:dyDescent="0.3">
      <c r="B241" s="11" t="s">
        <v>521</v>
      </c>
      <c r="C241" s="6"/>
      <c r="D241" s="5"/>
      <c r="E241" s="5"/>
      <c r="F241" s="5"/>
      <c r="G241" s="5"/>
      <c r="H241" s="5"/>
      <c r="I241" s="5"/>
      <c r="J241" s="5"/>
      <c r="K241" s="5"/>
      <c r="L241" s="5"/>
      <c r="M241" s="5"/>
    </row>
    <row r="242" spans="2:13" x14ac:dyDescent="0.3">
      <c r="B242" s="11" t="s">
        <v>1254</v>
      </c>
      <c r="C242" s="6"/>
      <c r="D242" s="5"/>
      <c r="E242" s="5"/>
      <c r="F242" s="5"/>
      <c r="G242" s="5"/>
      <c r="H242" s="5"/>
      <c r="I242" s="5"/>
      <c r="J242" s="5"/>
      <c r="K242" s="5"/>
      <c r="L242" s="5"/>
      <c r="M242" s="5"/>
    </row>
    <row r="243" spans="2:13" x14ac:dyDescent="0.3">
      <c r="B243" s="11" t="s">
        <v>522</v>
      </c>
      <c r="C243" s="6"/>
      <c r="D243" s="5"/>
      <c r="E243" s="5"/>
      <c r="F243" s="5"/>
      <c r="G243" s="5"/>
      <c r="H243" s="5"/>
      <c r="I243" s="5"/>
      <c r="J243" s="5"/>
      <c r="K243" s="5"/>
      <c r="L243" s="5"/>
      <c r="M243" s="5"/>
    </row>
    <row r="244" spans="2:13" x14ac:dyDescent="0.3">
      <c r="B244" s="11" t="s">
        <v>523</v>
      </c>
      <c r="C244" s="6"/>
      <c r="D244" s="5"/>
      <c r="E244" s="5"/>
      <c r="F244" s="5"/>
      <c r="G244" s="5"/>
      <c r="H244" s="5"/>
      <c r="I244" s="5"/>
      <c r="J244" s="5"/>
      <c r="K244" s="5"/>
      <c r="L244" s="5"/>
      <c r="M244" s="5"/>
    </row>
    <row r="245" spans="2:13" x14ac:dyDescent="0.3">
      <c r="B245" s="11" t="s">
        <v>524</v>
      </c>
      <c r="C245" s="6"/>
      <c r="D245" s="5"/>
      <c r="E245" s="5"/>
      <c r="F245" s="5"/>
      <c r="G245" s="5"/>
      <c r="H245" s="5"/>
      <c r="I245" s="5"/>
      <c r="J245" s="5"/>
      <c r="K245" s="5"/>
      <c r="L245" s="5"/>
      <c r="M245" s="5"/>
    </row>
    <row r="246" spans="2:13" x14ac:dyDescent="0.3">
      <c r="B246" s="17"/>
      <c r="C246" s="5" t="s">
        <v>511</v>
      </c>
      <c r="D246" s="5"/>
      <c r="E246" s="5"/>
      <c r="F246" s="5"/>
      <c r="G246" s="5"/>
      <c r="H246" s="5"/>
      <c r="I246" s="5"/>
      <c r="J246" s="5"/>
      <c r="K246" s="5"/>
      <c r="L246" s="5"/>
      <c r="M246" s="5"/>
    </row>
    <row r="247" spans="2:13" x14ac:dyDescent="0.3">
      <c r="B247" s="62" t="s">
        <v>301</v>
      </c>
      <c r="C247" s="21" t="s">
        <v>291</v>
      </c>
      <c r="D247" s="5" t="s">
        <v>292</v>
      </c>
      <c r="E247" s="5" t="s">
        <v>293</v>
      </c>
      <c r="F247" s="5" t="s">
        <v>294</v>
      </c>
      <c r="G247" s="5" t="s">
        <v>295</v>
      </c>
      <c r="H247" s="5" t="s">
        <v>296</v>
      </c>
      <c r="I247" s="5" t="s">
        <v>297</v>
      </c>
      <c r="J247" s="5" t="s">
        <v>298</v>
      </c>
      <c r="K247" s="5" t="s">
        <v>299</v>
      </c>
      <c r="L247" s="5" t="s">
        <v>300</v>
      </c>
      <c r="M247" s="5"/>
    </row>
    <row r="248" spans="2:13" x14ac:dyDescent="0.3">
      <c r="B248" s="11" t="s">
        <v>548</v>
      </c>
      <c r="C248" s="6"/>
      <c r="D248" s="5"/>
      <c r="E248" s="5"/>
      <c r="F248" s="5"/>
      <c r="G248" s="5"/>
      <c r="H248" s="5"/>
      <c r="I248" s="5"/>
      <c r="J248" s="5"/>
      <c r="K248" s="5"/>
      <c r="L248" s="5"/>
      <c r="M248" s="5"/>
    </row>
    <row r="249" spans="2:13" x14ac:dyDescent="0.3">
      <c r="B249" s="11" t="s">
        <v>549</v>
      </c>
      <c r="C249" s="6"/>
      <c r="D249" s="5"/>
      <c r="E249" s="5"/>
      <c r="F249" s="5"/>
      <c r="G249" s="5"/>
      <c r="H249" s="5"/>
      <c r="I249" s="5"/>
      <c r="J249" s="5"/>
      <c r="K249" s="5"/>
      <c r="L249" s="5"/>
      <c r="M249" s="5"/>
    </row>
    <row r="250" spans="2:13" x14ac:dyDescent="0.3">
      <c r="B250" s="11" t="s">
        <v>550</v>
      </c>
      <c r="C250" s="6"/>
      <c r="D250" s="5"/>
      <c r="E250" s="5"/>
      <c r="F250" s="5"/>
      <c r="G250" s="5"/>
      <c r="H250" s="5"/>
      <c r="I250" s="5"/>
      <c r="J250" s="5"/>
      <c r="K250" s="5"/>
      <c r="L250" s="5"/>
      <c r="M250" s="5"/>
    </row>
    <row r="251" spans="2:13" x14ac:dyDescent="0.3">
      <c r="B251" s="11" t="s">
        <v>551</v>
      </c>
      <c r="C251" s="6"/>
      <c r="D251" s="5"/>
      <c r="E251" s="5"/>
      <c r="F251" s="5"/>
      <c r="G251" s="5"/>
      <c r="H251" s="5"/>
      <c r="I251" s="5"/>
      <c r="J251" s="5"/>
      <c r="K251" s="5"/>
      <c r="L251" s="5"/>
      <c r="M251" s="5"/>
    </row>
    <row r="252" spans="2:13" x14ac:dyDescent="0.3">
      <c r="B252" s="11" t="s">
        <v>552</v>
      </c>
      <c r="C252" s="6"/>
      <c r="D252" s="5"/>
      <c r="E252" s="5"/>
      <c r="F252" s="5"/>
      <c r="G252" s="5"/>
      <c r="H252" s="5"/>
      <c r="I252" s="5"/>
      <c r="J252" s="5"/>
      <c r="K252" s="5"/>
      <c r="L252" s="5"/>
      <c r="M252" s="5"/>
    </row>
    <row r="253" spans="2:13" x14ac:dyDescent="0.3">
      <c r="B253" s="11" t="s">
        <v>553</v>
      </c>
      <c r="C253" s="6"/>
      <c r="D253" s="5"/>
      <c r="E253" s="5"/>
      <c r="F253" s="5"/>
      <c r="G253" s="5"/>
      <c r="H253" s="5"/>
      <c r="I253" s="5"/>
      <c r="J253" s="5"/>
      <c r="K253" s="5"/>
      <c r="L253" s="5"/>
      <c r="M253" s="5"/>
    </row>
    <row r="254" spans="2:13" x14ac:dyDescent="0.3">
      <c r="B254" s="11" t="s">
        <v>554</v>
      </c>
      <c r="C254" s="6"/>
      <c r="D254" s="5"/>
      <c r="E254" s="5"/>
      <c r="F254" s="5"/>
      <c r="G254" s="5"/>
      <c r="H254" s="5"/>
      <c r="I254" s="5"/>
      <c r="J254" s="5"/>
      <c r="K254" s="5"/>
      <c r="L254" s="5"/>
      <c r="M254" s="5"/>
    </row>
    <row r="255" spans="2:13" x14ac:dyDescent="0.3">
      <c r="B255" s="11" t="s">
        <v>555</v>
      </c>
      <c r="C255" s="6"/>
      <c r="D255" s="5"/>
      <c r="E255" s="5"/>
      <c r="F255" s="5"/>
      <c r="G255" s="5"/>
      <c r="H255" s="5"/>
      <c r="I255" s="5"/>
      <c r="J255" s="5"/>
      <c r="K255" s="5"/>
      <c r="L255" s="5"/>
      <c r="M255" s="5"/>
    </row>
    <row r="256" spans="2:13" x14ac:dyDescent="0.3">
      <c r="B256" s="11" t="s">
        <v>556</v>
      </c>
      <c r="C256" s="1"/>
      <c r="D256" s="5"/>
      <c r="E256" s="5"/>
      <c r="F256" s="5"/>
      <c r="G256" s="5"/>
      <c r="H256" s="5"/>
      <c r="I256" s="5"/>
      <c r="J256" s="5"/>
      <c r="K256" s="5"/>
      <c r="L256" s="5"/>
      <c r="M256" s="5"/>
    </row>
    <row r="257" spans="2:13" x14ac:dyDescent="0.3">
      <c r="B257" s="11" t="s">
        <v>557</v>
      </c>
      <c r="C257" s="6"/>
      <c r="D257" s="5"/>
      <c r="E257" s="5"/>
      <c r="F257" s="5"/>
      <c r="G257" s="5"/>
      <c r="H257" s="5"/>
      <c r="I257" s="5"/>
      <c r="J257" s="5"/>
      <c r="K257" s="5"/>
      <c r="L257" s="5"/>
      <c r="M257" s="5"/>
    </row>
    <row r="258" spans="2:13" x14ac:dyDescent="0.3">
      <c r="B258" s="11" t="s">
        <v>558</v>
      </c>
      <c r="C258" s="6"/>
      <c r="D258" s="5"/>
      <c r="E258" s="5"/>
      <c r="F258" s="5"/>
      <c r="G258" s="5"/>
      <c r="H258" s="5"/>
      <c r="I258" s="5"/>
      <c r="J258" s="5"/>
      <c r="K258" s="5"/>
      <c r="L258" s="5"/>
      <c r="M258" s="5"/>
    </row>
    <row r="259" spans="2:13" x14ac:dyDescent="0.3">
      <c r="B259" s="11" t="s">
        <v>559</v>
      </c>
      <c r="C259" s="6"/>
      <c r="D259" s="5"/>
      <c r="E259" s="5"/>
      <c r="F259" s="5"/>
      <c r="G259" s="5"/>
      <c r="H259" s="5"/>
      <c r="I259" s="5"/>
      <c r="J259" s="5"/>
      <c r="K259" s="5"/>
      <c r="L259" s="5"/>
      <c r="M259" s="5"/>
    </row>
    <row r="260" spans="2:13" x14ac:dyDescent="0.3">
      <c r="B260" s="11" t="s">
        <v>560</v>
      </c>
      <c r="C260" s="6"/>
      <c r="D260" s="5"/>
      <c r="E260" s="5"/>
      <c r="F260" s="5"/>
      <c r="G260" s="5"/>
      <c r="H260" s="5"/>
      <c r="I260" s="5"/>
      <c r="J260" s="5"/>
      <c r="K260" s="5"/>
      <c r="L260" s="5"/>
      <c r="M260" s="5"/>
    </row>
    <row r="261" spans="2:13" x14ac:dyDescent="0.3">
      <c r="B261" s="11" t="s">
        <v>561</v>
      </c>
      <c r="C261" s="6"/>
      <c r="D261" s="5"/>
      <c r="E261" s="5"/>
      <c r="F261" s="5"/>
      <c r="G261" s="5"/>
      <c r="H261" s="5"/>
      <c r="I261" s="5"/>
      <c r="J261" s="5"/>
      <c r="K261" s="5"/>
      <c r="L261" s="5"/>
      <c r="M261" s="5"/>
    </row>
    <row r="262" spans="2:13" x14ac:dyDescent="0.3">
      <c r="B262" s="11" t="s">
        <v>420</v>
      </c>
      <c r="C262" s="6"/>
      <c r="D262" s="5"/>
      <c r="E262" s="5"/>
      <c r="F262" s="5"/>
      <c r="G262" s="5"/>
      <c r="H262" s="5"/>
      <c r="I262" s="5"/>
      <c r="J262" s="5"/>
      <c r="K262" s="5"/>
      <c r="L262" s="5"/>
      <c r="M262" s="5"/>
    </row>
    <row r="263" spans="2:13" x14ac:dyDescent="0.3">
      <c r="B263" s="17"/>
      <c r="C263" s="5" t="s">
        <v>511</v>
      </c>
      <c r="D263" s="5"/>
      <c r="E263" s="5"/>
      <c r="F263" s="5"/>
      <c r="G263" s="5"/>
      <c r="H263" s="5"/>
      <c r="I263" s="5"/>
      <c r="J263" s="5"/>
      <c r="K263" s="5"/>
      <c r="L263" s="5"/>
      <c r="M263" s="5"/>
    </row>
    <row r="264" spans="2:13" x14ac:dyDescent="0.3">
      <c r="B264" s="62" t="s">
        <v>258</v>
      </c>
      <c r="C264" s="21" t="s">
        <v>259</v>
      </c>
      <c r="D264" s="5" t="s">
        <v>260</v>
      </c>
      <c r="E264" s="5" t="s">
        <v>261</v>
      </c>
      <c r="F264" s="5" t="s">
        <v>1090</v>
      </c>
      <c r="G264" s="5" t="s">
        <v>1091</v>
      </c>
      <c r="H264" s="5" t="s">
        <v>1092</v>
      </c>
      <c r="I264" s="5" t="s">
        <v>1093</v>
      </c>
      <c r="J264" s="5" t="s">
        <v>1094</v>
      </c>
      <c r="K264" s="5" t="s">
        <v>1095</v>
      </c>
      <c r="L264" s="5" t="s">
        <v>1096</v>
      </c>
      <c r="M264" s="5"/>
    </row>
    <row r="265" spans="2:13" x14ac:dyDescent="0.3">
      <c r="B265" s="11" t="s">
        <v>262</v>
      </c>
      <c r="C265" s="6"/>
      <c r="D265" s="5"/>
      <c r="E265" s="5"/>
      <c r="F265" s="5"/>
      <c r="G265" s="5"/>
      <c r="H265" s="5"/>
      <c r="I265" s="5"/>
      <c r="J265" s="5"/>
      <c r="K265" s="5"/>
      <c r="L265" s="5"/>
      <c r="M265" s="5"/>
    </row>
    <row r="266" spans="2:13" x14ac:dyDescent="0.3">
      <c r="B266" s="11" t="s">
        <v>1255</v>
      </c>
      <c r="C266" s="6"/>
      <c r="D266" s="5"/>
      <c r="E266" s="5"/>
      <c r="F266" s="5"/>
      <c r="G266" s="5"/>
      <c r="H266" s="5"/>
      <c r="I266" s="5"/>
      <c r="J266" s="5"/>
      <c r="K266" s="5"/>
      <c r="L266" s="5"/>
      <c r="M266" s="5"/>
    </row>
    <row r="267" spans="2:13" x14ac:dyDescent="0.3">
      <c r="B267" s="11" t="s">
        <v>263</v>
      </c>
      <c r="C267" s="6"/>
      <c r="D267" s="5"/>
      <c r="E267" s="5"/>
      <c r="F267" s="5"/>
      <c r="G267" s="5"/>
      <c r="H267" s="5"/>
      <c r="I267" s="5"/>
      <c r="J267" s="5"/>
      <c r="K267" s="5"/>
      <c r="L267" s="5"/>
      <c r="M267" s="5"/>
    </row>
    <row r="268" spans="2:13" x14ac:dyDescent="0.3">
      <c r="B268" s="17"/>
      <c r="C268" s="5" t="s">
        <v>511</v>
      </c>
      <c r="D268" s="5"/>
      <c r="E268" s="5"/>
      <c r="F268" s="5"/>
      <c r="G268" s="5"/>
      <c r="H268" s="5"/>
      <c r="I268" s="5"/>
      <c r="J268" s="5"/>
      <c r="K268" s="5"/>
      <c r="L268" s="5"/>
      <c r="M268" s="5"/>
    </row>
    <row r="269" spans="2:13" x14ac:dyDescent="0.3">
      <c r="B269" s="62" t="s">
        <v>246</v>
      </c>
      <c r="C269" s="21" t="s">
        <v>248</v>
      </c>
      <c r="D269" s="21" t="s">
        <v>249</v>
      </c>
      <c r="E269" s="21" t="s">
        <v>250</v>
      </c>
      <c r="F269" s="21" t="s">
        <v>251</v>
      </c>
      <c r="G269" s="21" t="s">
        <v>252</v>
      </c>
      <c r="H269" s="21" t="s">
        <v>253</v>
      </c>
      <c r="I269" s="5" t="s">
        <v>254</v>
      </c>
      <c r="J269" s="5" t="s">
        <v>255</v>
      </c>
      <c r="K269" s="5" t="s">
        <v>256</v>
      </c>
      <c r="L269" s="5" t="s">
        <v>257</v>
      </c>
      <c r="M269" s="5"/>
    </row>
    <row r="270" spans="2:13" x14ac:dyDescent="0.3">
      <c r="B270" s="11" t="s">
        <v>562</v>
      </c>
      <c r="C270" s="6" t="s">
        <v>2</v>
      </c>
      <c r="D270" s="6" t="s">
        <v>2</v>
      </c>
      <c r="E270" s="6" t="s">
        <v>2</v>
      </c>
      <c r="F270" s="6" t="s">
        <v>2</v>
      </c>
      <c r="G270" s="6" t="s">
        <v>2</v>
      </c>
      <c r="H270" s="6" t="s">
        <v>2</v>
      </c>
      <c r="I270" s="5"/>
      <c r="J270" s="5"/>
      <c r="K270" s="5"/>
      <c r="L270" s="5"/>
      <c r="M270" s="5"/>
    </row>
    <row r="271" spans="2:13" x14ac:dyDescent="0.3">
      <c r="B271" s="11" t="s">
        <v>1256</v>
      </c>
      <c r="C271" s="6">
        <v>318</v>
      </c>
      <c r="D271" s="6">
        <v>41</v>
      </c>
      <c r="E271" s="6">
        <v>244</v>
      </c>
      <c r="F271" s="6">
        <v>244</v>
      </c>
      <c r="G271" s="6">
        <v>353</v>
      </c>
      <c r="H271" s="6">
        <v>395</v>
      </c>
      <c r="I271" s="5"/>
      <c r="J271" s="5"/>
      <c r="K271" s="5"/>
      <c r="L271" s="5"/>
      <c r="M271" s="5"/>
    </row>
    <row r="272" spans="2:13" x14ac:dyDescent="0.3">
      <c r="B272" s="11" t="s">
        <v>247</v>
      </c>
      <c r="C272" s="6">
        <v>6.5</v>
      </c>
      <c r="D272" s="6">
        <v>29.4</v>
      </c>
      <c r="E272" s="6">
        <v>7.5</v>
      </c>
      <c r="F272" s="6">
        <v>7.5</v>
      </c>
      <c r="G272" s="6">
        <v>5.5</v>
      </c>
      <c r="H272" s="6">
        <v>5.5</v>
      </c>
      <c r="I272" s="5"/>
      <c r="J272" s="5"/>
      <c r="K272" s="5"/>
      <c r="L272" s="5"/>
      <c r="M272" s="5"/>
    </row>
    <row r="273" spans="1:13" x14ac:dyDescent="0.3">
      <c r="B273" s="11" t="s">
        <v>421</v>
      </c>
      <c r="C273" s="6">
        <v>2</v>
      </c>
      <c r="D273" s="6">
        <v>2</v>
      </c>
      <c r="E273" s="6">
        <v>2</v>
      </c>
      <c r="F273" s="6">
        <v>2</v>
      </c>
      <c r="G273" s="6">
        <v>2</v>
      </c>
      <c r="H273" s="6">
        <v>2</v>
      </c>
      <c r="I273" s="5"/>
      <c r="J273" s="5"/>
      <c r="K273" s="5"/>
      <c r="L273" s="5"/>
      <c r="M273" s="5"/>
    </row>
    <row r="274" spans="1:13" x14ac:dyDescent="0.3">
      <c r="B274" s="11" t="s">
        <v>422</v>
      </c>
      <c r="C274" s="6">
        <v>31</v>
      </c>
      <c r="D274" s="6">
        <v>18</v>
      </c>
      <c r="E274" s="6">
        <v>34</v>
      </c>
      <c r="F274" s="6">
        <v>34</v>
      </c>
      <c r="G274" s="6">
        <v>35</v>
      </c>
      <c r="H274" s="6">
        <v>35</v>
      </c>
      <c r="I274" s="5"/>
      <c r="J274" s="5"/>
      <c r="K274" s="5"/>
      <c r="L274" s="5"/>
      <c r="M274" s="5"/>
    </row>
    <row r="275" spans="1:13" x14ac:dyDescent="0.3">
      <c r="B275" s="17"/>
      <c r="C275" s="5" t="s">
        <v>511</v>
      </c>
      <c r="D275" s="5"/>
      <c r="E275" s="5"/>
      <c r="F275" s="5"/>
      <c r="G275" s="5"/>
      <c r="H275" s="5"/>
      <c r="I275" s="5"/>
      <c r="J275" s="5"/>
      <c r="K275" s="5"/>
      <c r="L275" s="5"/>
      <c r="M275" s="5"/>
    </row>
    <row r="276" spans="1:13" x14ac:dyDescent="0.3">
      <c r="B276" s="62" t="s">
        <v>444</v>
      </c>
      <c r="C276" s="21" t="s">
        <v>103</v>
      </c>
      <c r="D276" s="21" t="s">
        <v>213</v>
      </c>
      <c r="E276" s="21" t="s">
        <v>214</v>
      </c>
      <c r="F276" s="21" t="s">
        <v>215</v>
      </c>
      <c r="G276" s="21" t="s">
        <v>216</v>
      </c>
      <c r="H276" s="21" t="s">
        <v>217</v>
      </c>
      <c r="I276" s="21" t="s">
        <v>218</v>
      </c>
      <c r="J276" s="21" t="s">
        <v>219</v>
      </c>
      <c r="K276" s="21" t="s">
        <v>220</v>
      </c>
      <c r="L276" s="21" t="s">
        <v>221</v>
      </c>
      <c r="M276" s="5"/>
    </row>
    <row r="277" spans="1:13" x14ac:dyDescent="0.3">
      <c r="B277" s="11" t="s">
        <v>241</v>
      </c>
      <c r="C277" s="6" t="s">
        <v>2644</v>
      </c>
      <c r="D277" s="6" t="s">
        <v>2644</v>
      </c>
      <c r="E277" s="6" t="s">
        <v>2644</v>
      </c>
      <c r="F277" s="6" t="s">
        <v>2644</v>
      </c>
      <c r="G277" s="6" t="s">
        <v>2644</v>
      </c>
      <c r="H277" s="6" t="s">
        <v>2644</v>
      </c>
      <c r="I277" s="6" t="s">
        <v>2644</v>
      </c>
      <c r="J277" s="6" t="s">
        <v>2644</v>
      </c>
      <c r="K277" s="6" t="s">
        <v>2644</v>
      </c>
      <c r="L277" s="6" t="s">
        <v>2644</v>
      </c>
      <c r="M277" s="5"/>
    </row>
    <row r="278" spans="1:13" x14ac:dyDescent="0.3">
      <c r="B278" s="11" t="s">
        <v>240</v>
      </c>
      <c r="C278" s="6" t="s">
        <v>2</v>
      </c>
      <c r="D278" s="6" t="s">
        <v>2</v>
      </c>
      <c r="E278" s="6" t="s">
        <v>2</v>
      </c>
      <c r="F278" s="6" t="s">
        <v>2</v>
      </c>
      <c r="G278" s="6" t="s">
        <v>2</v>
      </c>
      <c r="H278" s="6" t="s">
        <v>2</v>
      </c>
      <c r="I278" s="6" t="s">
        <v>2</v>
      </c>
      <c r="J278" s="6" t="s">
        <v>2</v>
      </c>
      <c r="K278" s="6" t="s">
        <v>2</v>
      </c>
      <c r="L278" s="6" t="s">
        <v>2</v>
      </c>
      <c r="M278" s="5"/>
    </row>
    <row r="279" spans="1:13" x14ac:dyDescent="0.3">
      <c r="B279" s="11" t="s">
        <v>242</v>
      </c>
      <c r="C279" s="6">
        <v>385</v>
      </c>
      <c r="D279" s="6">
        <v>8</v>
      </c>
      <c r="E279" s="6">
        <v>199</v>
      </c>
      <c r="F279" s="6">
        <v>338</v>
      </c>
      <c r="G279" s="6">
        <v>319</v>
      </c>
      <c r="H279" s="6">
        <v>42</v>
      </c>
      <c r="I279" s="6">
        <v>245</v>
      </c>
      <c r="J279" s="6">
        <v>246</v>
      </c>
      <c r="K279" s="6">
        <v>354</v>
      </c>
      <c r="L279" s="6">
        <v>396</v>
      </c>
      <c r="M279" s="5"/>
    </row>
    <row r="280" spans="1:13" x14ac:dyDescent="0.3">
      <c r="B280" s="11" t="s">
        <v>243</v>
      </c>
      <c r="C280" s="6">
        <v>0</v>
      </c>
      <c r="D280" s="6">
        <v>0</v>
      </c>
      <c r="E280" s="6">
        <v>0</v>
      </c>
      <c r="F280" s="6">
        <v>0</v>
      </c>
      <c r="G280" s="6">
        <v>0</v>
      </c>
      <c r="H280" s="6">
        <v>0</v>
      </c>
      <c r="I280" s="6">
        <v>0</v>
      </c>
      <c r="J280" s="6">
        <v>0</v>
      </c>
      <c r="K280" s="6">
        <v>0</v>
      </c>
      <c r="L280" s="6">
        <v>0</v>
      </c>
      <c r="M280" s="5"/>
    </row>
    <row r="281" spans="1:13" x14ac:dyDescent="0.3">
      <c r="B281" s="11" t="s">
        <v>244</v>
      </c>
      <c r="C281" s="6">
        <v>0</v>
      </c>
      <c r="D281" s="6">
        <v>0</v>
      </c>
      <c r="E281" s="6">
        <v>0</v>
      </c>
      <c r="F281" s="6">
        <v>0</v>
      </c>
      <c r="G281" s="6">
        <v>0</v>
      </c>
      <c r="H281" s="6">
        <v>0</v>
      </c>
      <c r="I281" s="6">
        <v>0</v>
      </c>
      <c r="J281" s="6">
        <v>0</v>
      </c>
      <c r="K281" s="6">
        <v>0</v>
      </c>
      <c r="L281" s="6">
        <v>0</v>
      </c>
      <c r="M281" s="5"/>
    </row>
    <row r="282" spans="1:13" x14ac:dyDescent="0.3">
      <c r="B282" s="11" t="s">
        <v>463</v>
      </c>
      <c r="C282" s="6" t="s">
        <v>2645</v>
      </c>
      <c r="D282" s="6" t="s">
        <v>2648</v>
      </c>
      <c r="E282" s="6" t="s">
        <v>2651</v>
      </c>
      <c r="F282" s="6" t="s">
        <v>2652</v>
      </c>
      <c r="G282" s="6" t="s">
        <v>2653</v>
      </c>
      <c r="H282" s="6" t="s">
        <v>2654</v>
      </c>
      <c r="I282" s="6" t="s">
        <v>2655</v>
      </c>
      <c r="J282" s="6" t="s">
        <v>2656</v>
      </c>
      <c r="K282" s="6" t="s">
        <v>2657</v>
      </c>
      <c r="L282" s="6" t="s">
        <v>2658</v>
      </c>
      <c r="M282" s="5"/>
    </row>
    <row r="283" spans="1:13" x14ac:dyDescent="0.3">
      <c r="B283" s="11" t="s">
        <v>1257</v>
      </c>
      <c r="C283" s="6" t="s">
        <v>2646</v>
      </c>
      <c r="D283" s="6" t="s">
        <v>2649</v>
      </c>
      <c r="E283" s="6" t="s">
        <v>2659</v>
      </c>
      <c r="F283" s="6" t="s">
        <v>2661</v>
      </c>
      <c r="G283" s="6" t="s">
        <v>2663</v>
      </c>
      <c r="H283" s="6" t="s">
        <v>2665</v>
      </c>
      <c r="I283" s="6" t="s">
        <v>2667</v>
      </c>
      <c r="J283" s="6" t="s">
        <v>2669</v>
      </c>
      <c r="K283" s="6" t="s">
        <v>2671</v>
      </c>
      <c r="L283" s="6" t="s">
        <v>2673</v>
      </c>
      <c r="M283" s="5"/>
    </row>
    <row r="284" spans="1:13" x14ac:dyDescent="0.3">
      <c r="B284" s="11" t="s">
        <v>464</v>
      </c>
      <c r="C284" s="6" t="s">
        <v>2647</v>
      </c>
      <c r="D284" s="6" t="s">
        <v>2650</v>
      </c>
      <c r="E284" s="6" t="s">
        <v>2660</v>
      </c>
      <c r="F284" s="6" t="s">
        <v>2662</v>
      </c>
      <c r="G284" s="6" t="s">
        <v>2664</v>
      </c>
      <c r="H284" s="6" t="s">
        <v>2666</v>
      </c>
      <c r="I284" s="6" t="s">
        <v>2668</v>
      </c>
      <c r="J284" s="6" t="s">
        <v>2670</v>
      </c>
      <c r="K284" s="6" t="s">
        <v>2672</v>
      </c>
      <c r="L284" s="6" t="s">
        <v>2674</v>
      </c>
      <c r="M284" s="5"/>
    </row>
    <row r="285" spans="1:13" x14ac:dyDescent="0.3">
      <c r="B285" s="17"/>
      <c r="C285" s="5" t="s">
        <v>511</v>
      </c>
      <c r="D285" s="5"/>
      <c r="E285" s="5"/>
      <c r="F285" s="5"/>
      <c r="G285" s="5"/>
      <c r="H285" s="5"/>
      <c r="I285" s="5"/>
      <c r="J285" s="5"/>
      <c r="K285" s="5"/>
      <c r="L285" s="5"/>
      <c r="M285" s="5"/>
    </row>
    <row r="286" spans="1:13" x14ac:dyDescent="0.3">
      <c r="B286" s="62" t="s">
        <v>445</v>
      </c>
      <c r="C286" s="21" t="s">
        <v>29</v>
      </c>
      <c r="D286" s="21" t="s">
        <v>104</v>
      </c>
      <c r="E286" s="21" t="s">
        <v>105</v>
      </c>
      <c r="F286" s="21" t="s">
        <v>106</v>
      </c>
      <c r="G286" s="21" t="s">
        <v>107</v>
      </c>
      <c r="H286" s="21" t="s">
        <v>108</v>
      </c>
      <c r="I286" s="5" t="s">
        <v>109</v>
      </c>
      <c r="J286" s="5" t="s">
        <v>118</v>
      </c>
      <c r="K286" s="5" t="s">
        <v>119</v>
      </c>
      <c r="L286" s="5" t="s">
        <v>120</v>
      </c>
      <c r="M286" s="5"/>
    </row>
    <row r="287" spans="1:13" x14ac:dyDescent="0.3">
      <c r="B287" s="11" t="s">
        <v>245</v>
      </c>
      <c r="C287" s="6" t="s">
        <v>2</v>
      </c>
      <c r="D287" s="6" t="s">
        <v>2</v>
      </c>
      <c r="E287" s="6" t="s">
        <v>2</v>
      </c>
      <c r="F287" s="6" t="s">
        <v>17</v>
      </c>
      <c r="G287" s="6" t="s">
        <v>2</v>
      </c>
      <c r="H287" s="6" t="s">
        <v>17</v>
      </c>
      <c r="I287" s="5"/>
      <c r="J287" s="5"/>
      <c r="K287" s="5"/>
      <c r="L287" s="5"/>
      <c r="M287" s="5"/>
    </row>
    <row r="288" spans="1:13" x14ac:dyDescent="0.3">
      <c r="A288" s="3" t="s">
        <v>998</v>
      </c>
      <c r="B288" s="17"/>
      <c r="C288" s="5" t="s">
        <v>511</v>
      </c>
      <c r="D288" s="5"/>
      <c r="E288" s="5"/>
      <c r="F288" s="5"/>
      <c r="G288" s="5"/>
      <c r="H288" s="5"/>
      <c r="I288" s="5"/>
      <c r="J288" s="5"/>
      <c r="K288" s="5"/>
      <c r="L288" s="5"/>
      <c r="M288" s="5"/>
    </row>
    <row r="289" spans="1:20" x14ac:dyDescent="0.3">
      <c r="A289" s="26" t="s">
        <v>999</v>
      </c>
      <c r="B289" s="62" t="s">
        <v>446</v>
      </c>
      <c r="C289" s="21" t="s">
        <v>156</v>
      </c>
      <c r="D289" s="21" t="s">
        <v>151</v>
      </c>
      <c r="E289" s="21" t="s">
        <v>152</v>
      </c>
      <c r="F289" s="21" t="s">
        <v>1097</v>
      </c>
      <c r="G289" s="21" t="s">
        <v>142</v>
      </c>
      <c r="H289" s="21" t="s">
        <v>143</v>
      </c>
      <c r="I289" s="5" t="s">
        <v>150</v>
      </c>
      <c r="J289" s="5" t="s">
        <v>149</v>
      </c>
      <c r="K289" s="5" t="s">
        <v>148</v>
      </c>
      <c r="L289" s="5" t="s">
        <v>147</v>
      </c>
      <c r="M289" s="5" t="s">
        <v>146</v>
      </c>
      <c r="N289" s="5" t="s">
        <v>145</v>
      </c>
      <c r="O289" s="5" t="s">
        <v>144</v>
      </c>
    </row>
    <row r="290" spans="1:20" x14ac:dyDescent="0.3">
      <c r="A290" t="s">
        <v>563</v>
      </c>
      <c r="B290" s="11" t="s">
        <v>264</v>
      </c>
      <c r="C290" s="1" t="s">
        <v>1202</v>
      </c>
      <c r="D290" s="6" t="s">
        <v>2413</v>
      </c>
      <c r="E290" s="6">
        <v>1</v>
      </c>
      <c r="F290" s="6" t="s">
        <v>2</v>
      </c>
      <c r="G290" s="6" t="s">
        <v>2</v>
      </c>
      <c r="H290" s="6" t="s">
        <v>2</v>
      </c>
      <c r="I290" s="5"/>
      <c r="J290" s="5"/>
      <c r="K290" s="5"/>
      <c r="L290" s="5"/>
      <c r="M290" s="5"/>
      <c r="N290" s="5"/>
      <c r="O290" s="5"/>
      <c r="Q290" s="1" t="s">
        <v>1098</v>
      </c>
      <c r="T290" t="str">
        <f>CHAR(34)&amp;Q290&amp;R290&amp;CHAR(34)</f>
        <v>"Timestep violations [NVIOL]                "</v>
      </c>
    </row>
    <row r="291" spans="1:20" x14ac:dyDescent="0.3">
      <c r="A291" t="s">
        <v>564</v>
      </c>
      <c r="B291" s="11" t="s">
        <v>34</v>
      </c>
      <c r="C291" s="1" t="s">
        <v>1232</v>
      </c>
      <c r="D291" s="6" t="s">
        <v>153</v>
      </c>
      <c r="E291" s="6">
        <v>1</v>
      </c>
      <c r="F291" s="6" t="s">
        <v>2</v>
      </c>
      <c r="G291" s="6" t="s">
        <v>2</v>
      </c>
      <c r="H291" s="6" t="s">
        <v>2</v>
      </c>
      <c r="I291" s="5"/>
      <c r="J291" s="5"/>
      <c r="K291" s="5"/>
      <c r="L291" s="5"/>
      <c r="M291" s="5"/>
      <c r="N291" s="5"/>
      <c r="O291" s="5"/>
      <c r="Q291" s="1" t="s">
        <v>1205</v>
      </c>
      <c r="R291" s="1" t="s">
        <v>1206</v>
      </c>
      <c r="T291" t="str">
        <f t="shared" ref="T291:T304" si="0">CHAR(34)&amp;Q291&amp;R291&amp;CHAR(34)</f>
        <v>"Horizontal velocity [U] m/s               "</v>
      </c>
    </row>
    <row r="292" spans="1:20" x14ac:dyDescent="0.3">
      <c r="A292" t="s">
        <v>565</v>
      </c>
      <c r="B292" s="11" t="s">
        <v>35</v>
      </c>
      <c r="C292" s="1" t="s">
        <v>1233</v>
      </c>
      <c r="D292" s="6" t="s">
        <v>153</v>
      </c>
      <c r="E292" s="6">
        <v>1</v>
      </c>
      <c r="F292" s="6" t="s">
        <v>2</v>
      </c>
      <c r="G292" s="6" t="s">
        <v>2</v>
      </c>
      <c r="H292" s="6" t="s">
        <v>2</v>
      </c>
      <c r="I292" s="5"/>
      <c r="J292" s="5"/>
      <c r="K292" s="5"/>
      <c r="L292" s="5"/>
      <c r="M292" s="5"/>
      <c r="N292" s="5"/>
      <c r="O292" s="5"/>
      <c r="Q292" s="1" t="s">
        <v>1207</v>
      </c>
      <c r="R292" s="1" t="s">
        <v>1208</v>
      </c>
      <c r="T292" t="str">
        <f t="shared" si="0"/>
        <v>"Vertical velocity [W] m/s                 "</v>
      </c>
    </row>
    <row r="293" spans="1:20" x14ac:dyDescent="0.3">
      <c r="A293" t="s">
        <v>566</v>
      </c>
      <c r="B293" s="11" t="s">
        <v>36</v>
      </c>
      <c r="C293" s="1" t="s">
        <v>1234</v>
      </c>
      <c r="D293" s="6" t="s">
        <v>153</v>
      </c>
      <c r="E293" s="6">
        <v>1</v>
      </c>
      <c r="F293" s="6" t="s">
        <v>2</v>
      </c>
      <c r="G293" s="6" t="s">
        <v>2</v>
      </c>
      <c r="H293" s="6" t="s">
        <v>2</v>
      </c>
      <c r="I293" s="5"/>
      <c r="J293" s="5"/>
      <c r="K293" s="5"/>
      <c r="L293" s="5"/>
      <c r="M293" s="5"/>
      <c r="N293" s="5"/>
      <c r="O293" s="5"/>
      <c r="Q293" s="1" t="s">
        <v>1209</v>
      </c>
      <c r="R293" s="1" t="s">
        <v>1210</v>
      </c>
      <c r="T293" t="str">
        <f t="shared" si="0"/>
        <v>"Temperature [T1] &lt;o/&gt;C                    "</v>
      </c>
    </row>
    <row r="294" spans="1:20" x14ac:dyDescent="0.3">
      <c r="A294"/>
      <c r="B294" s="11" t="s">
        <v>37</v>
      </c>
      <c r="C294" s="1" t="s">
        <v>1235</v>
      </c>
      <c r="D294" s="6" t="s">
        <v>153</v>
      </c>
      <c r="E294" s="6">
        <v>1</v>
      </c>
      <c r="F294" s="6" t="s">
        <v>17</v>
      </c>
      <c r="G294" s="6" t="s">
        <v>17</v>
      </c>
      <c r="H294" s="6" t="s">
        <v>17</v>
      </c>
      <c r="I294" s="5"/>
      <c r="J294" s="5"/>
      <c r="K294" s="5"/>
      <c r="L294" s="5"/>
      <c r="M294" s="5"/>
      <c r="N294" s="5"/>
      <c r="O294" s="5"/>
      <c r="Q294" s="1" t="s">
        <v>1211</v>
      </c>
      <c r="R294" s="1" t="s">
        <v>1212</v>
      </c>
      <c r="T294" t="str">
        <f t="shared" si="0"/>
        <v>"Density [RHO] g/m^3                       "</v>
      </c>
    </row>
    <row r="295" spans="1:20" x14ac:dyDescent="0.3">
      <c r="A295" t="s">
        <v>567</v>
      </c>
      <c r="B295" s="11" t="s">
        <v>38</v>
      </c>
      <c r="C295" s="1" t="s">
        <v>1236</v>
      </c>
      <c r="D295" s="6" t="s">
        <v>153</v>
      </c>
      <c r="E295" s="6">
        <v>1</v>
      </c>
      <c r="F295" s="6" t="s">
        <v>17</v>
      </c>
      <c r="G295" s="6" t="s">
        <v>17</v>
      </c>
      <c r="H295" s="6" t="s">
        <v>17</v>
      </c>
      <c r="I295" s="5"/>
      <c r="J295" s="5"/>
      <c r="K295" s="5"/>
      <c r="L295" s="5"/>
      <c r="M295" s="5"/>
      <c r="N295" s="5"/>
      <c r="O295" s="5"/>
      <c r="Q295" s="1" t="s">
        <v>1213</v>
      </c>
      <c r="R295" s="1" t="s">
        <v>1214</v>
      </c>
      <c r="T295" t="str">
        <f t="shared" si="0"/>
        <v>"Vertical eddy viscosity [AZ] m^2/s        "</v>
      </c>
    </row>
    <row r="296" spans="1:20" x14ac:dyDescent="0.3">
      <c r="B296" s="11" t="s">
        <v>39</v>
      </c>
      <c r="C296" s="1" t="s">
        <v>1237</v>
      </c>
      <c r="D296" s="6" t="s">
        <v>153</v>
      </c>
      <c r="E296" s="6">
        <v>1</v>
      </c>
      <c r="F296" s="6" t="s">
        <v>17</v>
      </c>
      <c r="G296" s="6" t="s">
        <v>17</v>
      </c>
      <c r="H296" s="6" t="s">
        <v>17</v>
      </c>
      <c r="I296" s="5"/>
      <c r="J296" s="5"/>
      <c r="K296" s="5"/>
      <c r="L296" s="5"/>
      <c r="M296" s="5"/>
      <c r="N296" s="5"/>
      <c r="O296" s="5"/>
      <c r="Q296" s="1" t="s">
        <v>1215</v>
      </c>
      <c r="R296" s="1" t="s">
        <v>1216</v>
      </c>
      <c r="T296" t="str">
        <f t="shared" si="0"/>
        <v>"Velocity shear stress [SHEAR] 1/s^2       "</v>
      </c>
    </row>
    <row r="297" spans="1:20" x14ac:dyDescent="0.3">
      <c r="B297" s="11" t="s">
        <v>40</v>
      </c>
      <c r="C297" s="1" t="s">
        <v>1238</v>
      </c>
      <c r="D297" s="6" t="s">
        <v>153</v>
      </c>
      <c r="E297" s="6">
        <v>1</v>
      </c>
      <c r="F297" s="6" t="s">
        <v>17</v>
      </c>
      <c r="G297" s="6" t="s">
        <v>17</v>
      </c>
      <c r="H297" s="6" t="s">
        <v>17</v>
      </c>
      <c r="I297" s="5"/>
      <c r="J297" s="5"/>
      <c r="K297" s="5"/>
      <c r="L297" s="5"/>
      <c r="M297" s="5"/>
      <c r="N297" s="5"/>
      <c r="O297" s="5"/>
      <c r="Q297" s="1" t="s">
        <v>1217</v>
      </c>
      <c r="R297" s="1" t="s">
        <v>1218</v>
      </c>
      <c r="T297" t="str">
        <f t="shared" si="0"/>
        <v>"Internal shear [ST] m^3/s                 "</v>
      </c>
    </row>
    <row r="298" spans="1:20" x14ac:dyDescent="0.3">
      <c r="B298" s="11" t="s">
        <v>41</v>
      </c>
      <c r="C298" s="1" t="s">
        <v>1239</v>
      </c>
      <c r="D298" s="6" t="s">
        <v>153</v>
      </c>
      <c r="E298" s="6">
        <v>1</v>
      </c>
      <c r="F298" s="6" t="s">
        <v>17</v>
      </c>
      <c r="G298" s="6" t="s">
        <v>17</v>
      </c>
      <c r="H298" s="6" t="s">
        <v>17</v>
      </c>
      <c r="I298" s="5"/>
      <c r="J298" s="5"/>
      <c r="K298" s="5"/>
      <c r="L298" s="5"/>
      <c r="M298" s="5"/>
      <c r="N298" s="5"/>
      <c r="O298" s="5"/>
      <c r="Q298" s="1" t="s">
        <v>1219</v>
      </c>
      <c r="R298" s="1" t="s">
        <v>1220</v>
      </c>
      <c r="T298" t="str">
        <f t="shared" si="0"/>
        <v>"Bottom shear [SB] m^3/s                   "</v>
      </c>
    </row>
    <row r="299" spans="1:20" x14ac:dyDescent="0.3">
      <c r="B299" s="11" t="s">
        <v>42</v>
      </c>
      <c r="C299" s="1" t="s">
        <v>1240</v>
      </c>
      <c r="D299" s="6" t="s">
        <v>153</v>
      </c>
      <c r="E299" s="6">
        <v>1</v>
      </c>
      <c r="F299" s="6" t="s">
        <v>17</v>
      </c>
      <c r="G299" s="6" t="s">
        <v>17</v>
      </c>
      <c r="H299" s="6" t="s">
        <v>17</v>
      </c>
      <c r="I299" s="5"/>
      <c r="J299" s="5"/>
      <c r="K299" s="5"/>
      <c r="L299" s="5"/>
      <c r="M299" s="5"/>
      <c r="N299" s="5"/>
      <c r="O299" s="5"/>
      <c r="Q299" s="1" t="s">
        <v>1221</v>
      </c>
      <c r="R299" s="1" t="s">
        <v>1222</v>
      </c>
      <c r="T299" t="str">
        <f t="shared" si="0"/>
        <v>"Longitudinal momentum [ADMX] m^3/s        "</v>
      </c>
    </row>
    <row r="300" spans="1:20" x14ac:dyDescent="0.3">
      <c r="B300" s="11" t="s">
        <v>43</v>
      </c>
      <c r="C300" s="1" t="s">
        <v>1241</v>
      </c>
      <c r="D300" s="6" t="s">
        <v>153</v>
      </c>
      <c r="E300" s="6">
        <v>1</v>
      </c>
      <c r="F300" s="6" t="s">
        <v>17</v>
      </c>
      <c r="G300" s="6" t="s">
        <v>17</v>
      </c>
      <c r="H300" s="6" t="s">
        <v>17</v>
      </c>
      <c r="I300" s="5"/>
      <c r="J300" s="5"/>
      <c r="K300" s="5"/>
      <c r="L300" s="5"/>
      <c r="M300" s="5"/>
      <c r="N300" s="5"/>
      <c r="O300" s="5"/>
      <c r="Q300" s="1" t="s">
        <v>1223</v>
      </c>
      <c r="R300" s="1" t="s">
        <v>1224</v>
      </c>
      <c r="T300" t="str">
        <f t="shared" si="0"/>
        <v>"Longitudinal momentum [DM] m^3/s          "</v>
      </c>
    </row>
    <row r="301" spans="1:20" x14ac:dyDescent="0.3">
      <c r="B301" s="11" t="s">
        <v>44</v>
      </c>
      <c r="C301" s="1" t="s">
        <v>1242</v>
      </c>
      <c r="D301" s="6" t="s">
        <v>153</v>
      </c>
      <c r="E301" s="6">
        <v>1</v>
      </c>
      <c r="F301" s="6" t="s">
        <v>17</v>
      </c>
      <c r="G301" s="6" t="s">
        <v>17</v>
      </c>
      <c r="H301" s="6" t="s">
        <v>17</v>
      </c>
      <c r="I301" s="5"/>
      <c r="J301" s="5"/>
      <c r="K301" s="5"/>
      <c r="L301" s="5"/>
      <c r="M301" s="5"/>
      <c r="N301" s="5"/>
      <c r="O301" s="5"/>
      <c r="Q301" s="1" t="s">
        <v>1225</v>
      </c>
      <c r="R301" s="1" t="s">
        <v>1226</v>
      </c>
      <c r="T301" t="str">
        <f t="shared" si="0"/>
        <v>"Horizontal density gradient [HDG] m^3/s   "</v>
      </c>
    </row>
    <row r="302" spans="1:20" x14ac:dyDescent="0.3">
      <c r="B302" s="11" t="s">
        <v>45</v>
      </c>
      <c r="C302" s="1" t="s">
        <v>1243</v>
      </c>
      <c r="D302" s="6" t="s">
        <v>153</v>
      </c>
      <c r="E302" s="6">
        <v>1</v>
      </c>
      <c r="F302" s="6" t="s">
        <v>17</v>
      </c>
      <c r="G302" s="6" t="s">
        <v>17</v>
      </c>
      <c r="H302" s="6" t="s">
        <v>17</v>
      </c>
      <c r="I302" s="5"/>
      <c r="J302" s="5"/>
      <c r="K302" s="5"/>
      <c r="L302" s="5"/>
      <c r="M302" s="5"/>
      <c r="N302" s="5"/>
      <c r="O302" s="5"/>
      <c r="Q302" s="1" t="s">
        <v>1227</v>
      </c>
      <c r="R302" s="1" t="s">
        <v>1228</v>
      </c>
      <c r="T302" t="str">
        <f t="shared" si="0"/>
        <v>"Vertical momentum [ADMZ] m^3/s            "</v>
      </c>
    </row>
    <row r="303" spans="1:20" x14ac:dyDescent="0.3">
      <c r="B303" s="11" t="s">
        <v>46</v>
      </c>
      <c r="C303" s="1" t="s">
        <v>1244</v>
      </c>
      <c r="D303" s="6" t="s">
        <v>153</v>
      </c>
      <c r="E303" s="6">
        <v>1</v>
      </c>
      <c r="F303" s="6" t="s">
        <v>17</v>
      </c>
      <c r="G303" s="6" t="s">
        <v>17</v>
      </c>
      <c r="H303" s="6" t="s">
        <v>17</v>
      </c>
      <c r="I303" s="5"/>
      <c r="J303" s="5"/>
      <c r="K303" s="5"/>
      <c r="L303" s="5"/>
      <c r="M303" s="5"/>
      <c r="N303" s="5"/>
      <c r="O303" s="5"/>
      <c r="Q303" s="1" t="s">
        <v>1229</v>
      </c>
      <c r="R303" s="1" t="s">
        <v>1230</v>
      </c>
      <c r="T303" t="str">
        <f t="shared" si="0"/>
        <v>"Horizontal pressure gradient [HPG] m^3/s  "</v>
      </c>
    </row>
    <row r="304" spans="1:20" x14ac:dyDescent="0.3">
      <c r="B304" s="11" t="s">
        <v>47</v>
      </c>
      <c r="C304" s="1" t="s">
        <v>1245</v>
      </c>
      <c r="D304" s="6" t="s">
        <v>153</v>
      </c>
      <c r="E304" s="6">
        <v>1</v>
      </c>
      <c r="F304" s="6" t="s">
        <v>17</v>
      </c>
      <c r="G304" s="6" t="s">
        <v>17</v>
      </c>
      <c r="H304" s="6" t="s">
        <v>17</v>
      </c>
      <c r="I304" s="5"/>
      <c r="J304" s="5"/>
      <c r="K304" s="5"/>
      <c r="L304" s="5"/>
      <c r="M304" s="5"/>
      <c r="N304" s="5"/>
      <c r="O304" s="5"/>
      <c r="Q304" s="1" t="s">
        <v>1231</v>
      </c>
      <c r="R304" s="1" t="s">
        <v>1226</v>
      </c>
      <c r="T304" t="str">
        <f t="shared" si="0"/>
        <v>"Gravity term channel slope [GRAV] m^3/s   "</v>
      </c>
    </row>
    <row r="305" spans="1:17" x14ac:dyDescent="0.3">
      <c r="B305" s="17"/>
      <c r="C305" s="5" t="s">
        <v>511</v>
      </c>
      <c r="D305" s="5"/>
      <c r="E305" s="5"/>
      <c r="F305" s="5"/>
      <c r="G305" s="5"/>
      <c r="H305" s="5"/>
      <c r="I305" s="5"/>
      <c r="J305" s="5"/>
      <c r="K305" s="5"/>
      <c r="L305" s="5"/>
      <c r="M305" s="5"/>
    </row>
    <row r="306" spans="1:17" x14ac:dyDescent="0.3">
      <c r="A306" t="s">
        <v>1000</v>
      </c>
      <c r="B306" s="62" t="s">
        <v>447</v>
      </c>
      <c r="C306" s="21" t="s">
        <v>2619</v>
      </c>
      <c r="D306" s="5"/>
      <c r="E306" s="5"/>
      <c r="F306" s="5"/>
      <c r="G306" s="5"/>
      <c r="H306" s="5"/>
      <c r="I306" s="5"/>
      <c r="J306" s="5"/>
      <c r="K306" s="5"/>
      <c r="L306" s="5"/>
      <c r="M306" s="5"/>
      <c r="P306" s="2"/>
      <c r="Q306" s="2"/>
    </row>
    <row r="307" spans="1:17" x14ac:dyDescent="0.3">
      <c r="B307" s="11" t="s">
        <v>439</v>
      </c>
      <c r="C307" s="6" t="s">
        <v>2</v>
      </c>
      <c r="D307" s="5"/>
      <c r="E307" s="5"/>
      <c r="F307" s="5"/>
      <c r="G307" s="5"/>
      <c r="H307" s="5"/>
      <c r="I307" s="5"/>
      <c r="J307" s="5"/>
      <c r="K307" s="5"/>
      <c r="L307" s="5"/>
      <c r="M307" s="5"/>
    </row>
    <row r="308" spans="1:17" x14ac:dyDescent="0.3">
      <c r="B308" s="11" t="s">
        <v>438</v>
      </c>
      <c r="C308" s="6">
        <v>1</v>
      </c>
      <c r="D308" s="5"/>
      <c r="E308" s="5"/>
      <c r="F308" s="5"/>
      <c r="G308" s="5"/>
      <c r="H308" s="5"/>
      <c r="I308" s="5"/>
      <c r="J308" s="5"/>
      <c r="K308" s="5"/>
      <c r="L308" s="5"/>
      <c r="M308" s="5"/>
    </row>
    <row r="309" spans="1:17" x14ac:dyDescent="0.3">
      <c r="B309" s="11" t="s">
        <v>923</v>
      </c>
      <c r="C309" s="116">
        <v>80</v>
      </c>
      <c r="D309" s="5"/>
      <c r="E309" s="5"/>
      <c r="F309" s="5"/>
      <c r="G309" s="5"/>
      <c r="H309" s="5"/>
      <c r="I309" s="5"/>
      <c r="J309" s="5"/>
      <c r="K309" s="5"/>
      <c r="L309" s="5"/>
      <c r="M309" s="5"/>
    </row>
    <row r="310" spans="1:17" x14ac:dyDescent="0.3">
      <c r="B310" s="11" t="s">
        <v>922</v>
      </c>
      <c r="C310" s="116">
        <v>10</v>
      </c>
      <c r="D310" s="5"/>
      <c r="E310" s="5"/>
      <c r="F310" s="5"/>
      <c r="G310" s="5"/>
      <c r="H310" s="5"/>
      <c r="I310" s="5"/>
      <c r="J310" s="5"/>
      <c r="K310" s="5"/>
      <c r="L310" s="5"/>
      <c r="M310" s="5"/>
    </row>
    <row r="311" spans="1:17" x14ac:dyDescent="0.3">
      <c r="B311" s="17"/>
      <c r="C311" s="5" t="s">
        <v>511</v>
      </c>
      <c r="D311" s="5"/>
      <c r="E311" s="5"/>
      <c r="F311" s="5"/>
      <c r="G311" s="5"/>
      <c r="H311" s="5"/>
      <c r="I311" s="5"/>
      <c r="J311" s="5"/>
      <c r="K311" s="5"/>
      <c r="L311" s="5"/>
      <c r="M311" s="5"/>
    </row>
    <row r="312" spans="1:17" x14ac:dyDescent="0.3">
      <c r="B312" s="62" t="s">
        <v>448</v>
      </c>
      <c r="C312" s="21" t="s">
        <v>1022</v>
      </c>
      <c r="D312" s="5"/>
      <c r="E312" s="5"/>
      <c r="F312" s="5"/>
      <c r="G312" s="5"/>
      <c r="H312" s="5"/>
      <c r="I312" s="5"/>
      <c r="J312" s="5"/>
      <c r="K312" s="5"/>
      <c r="L312" s="5"/>
      <c r="M312" s="5"/>
      <c r="N312" s="3"/>
    </row>
    <row r="313" spans="1:17" x14ac:dyDescent="0.3">
      <c r="B313" s="12" t="s">
        <v>920</v>
      </c>
      <c r="C313" s="6" t="s">
        <v>2</v>
      </c>
      <c r="D313" s="5"/>
      <c r="E313" s="5"/>
      <c r="F313" s="5"/>
      <c r="G313" s="5"/>
      <c r="H313" s="5"/>
      <c r="I313" s="5"/>
      <c r="J313" s="5"/>
      <c r="K313" s="5"/>
      <c r="L313" s="5"/>
      <c r="M313" s="5"/>
    </row>
    <row r="314" spans="1:17" x14ac:dyDescent="0.3">
      <c r="B314" s="11" t="s">
        <v>465</v>
      </c>
      <c r="C314" s="6">
        <v>1</v>
      </c>
      <c r="D314" s="5"/>
      <c r="E314" s="5"/>
      <c r="F314" s="5"/>
      <c r="G314" s="5"/>
      <c r="H314" s="5"/>
      <c r="I314" s="5"/>
      <c r="J314" s="5"/>
      <c r="K314" s="5"/>
      <c r="L314" s="5"/>
      <c r="M314" s="5"/>
    </row>
    <row r="315" spans="1:17" x14ac:dyDescent="0.3">
      <c r="B315" s="11" t="s">
        <v>924</v>
      </c>
      <c r="C315" s="116">
        <v>80</v>
      </c>
      <c r="D315" s="5"/>
      <c r="E315" s="5"/>
      <c r="F315" s="5"/>
      <c r="G315" s="5"/>
      <c r="H315" s="5"/>
      <c r="I315" s="5"/>
      <c r="J315" s="5"/>
      <c r="K315" s="5"/>
      <c r="L315" s="5"/>
      <c r="M315" s="5"/>
    </row>
    <row r="316" spans="1:17" x14ac:dyDescent="0.3">
      <c r="B316" s="11" t="s">
        <v>921</v>
      </c>
      <c r="C316" s="116">
        <v>0.1</v>
      </c>
      <c r="D316" s="5"/>
      <c r="E316" s="5"/>
      <c r="F316" s="5"/>
      <c r="G316" s="5"/>
      <c r="H316" s="5"/>
      <c r="I316" s="5"/>
      <c r="J316" s="5"/>
      <c r="K316" s="5"/>
      <c r="L316" s="5"/>
      <c r="M316" s="5"/>
    </row>
    <row r="317" spans="1:17" x14ac:dyDescent="0.3">
      <c r="B317" s="17"/>
      <c r="C317" s="5" t="s">
        <v>511</v>
      </c>
      <c r="D317" s="5"/>
      <c r="E317" s="5"/>
      <c r="F317" s="5"/>
      <c r="G317" s="5"/>
      <c r="H317" s="5"/>
      <c r="I317" s="5"/>
      <c r="J317" s="5"/>
      <c r="K317" s="5"/>
      <c r="L317" s="5"/>
      <c r="M317" s="5"/>
    </row>
    <row r="318" spans="1:17" x14ac:dyDescent="0.3">
      <c r="A318" s="25" t="s">
        <v>1001</v>
      </c>
      <c r="B318" s="62" t="s">
        <v>449</v>
      </c>
      <c r="C318" s="21" t="s">
        <v>48</v>
      </c>
      <c r="D318" s="5"/>
      <c r="E318" s="10"/>
      <c r="F318" s="5"/>
      <c r="G318" s="5"/>
      <c r="H318" s="5"/>
      <c r="I318" s="5"/>
      <c r="J318" s="5"/>
      <c r="K318" s="5"/>
      <c r="L318" s="5"/>
      <c r="M318" s="5"/>
    </row>
    <row r="319" spans="1:17" x14ac:dyDescent="0.3">
      <c r="A319" s="25" t="s">
        <v>1002</v>
      </c>
      <c r="B319" s="11" t="s">
        <v>915</v>
      </c>
      <c r="C319" s="6" t="s">
        <v>17</v>
      </c>
      <c r="D319" s="5"/>
      <c r="E319" s="5"/>
      <c r="F319" s="5"/>
      <c r="G319" s="5"/>
      <c r="H319" s="5"/>
      <c r="I319" s="5"/>
      <c r="J319" s="5"/>
      <c r="K319" s="5"/>
      <c r="L319" s="5"/>
      <c r="M319" s="5"/>
    </row>
    <row r="320" spans="1:17" x14ac:dyDescent="0.3">
      <c r="A320" t="s">
        <v>1003</v>
      </c>
      <c r="B320" s="11" t="s">
        <v>916</v>
      </c>
      <c r="C320" s="6">
        <v>1</v>
      </c>
      <c r="D320" s="5"/>
      <c r="E320" s="5"/>
      <c r="F320" s="5"/>
      <c r="G320" s="5"/>
      <c r="H320" s="5"/>
      <c r="I320" s="5"/>
      <c r="J320" s="5"/>
      <c r="K320" s="5"/>
      <c r="L320" s="5"/>
      <c r="M320" s="5"/>
    </row>
    <row r="321" spans="1:34" x14ac:dyDescent="0.3">
      <c r="B321" s="11" t="s">
        <v>917</v>
      </c>
      <c r="C321" s="6">
        <v>4</v>
      </c>
      <c r="D321" s="5"/>
      <c r="E321" s="5"/>
      <c r="F321" s="5"/>
      <c r="G321" s="5"/>
      <c r="H321" s="5"/>
      <c r="I321" s="5"/>
      <c r="J321" s="5"/>
      <c r="K321" s="5"/>
      <c r="L321" s="5"/>
      <c r="M321" s="5"/>
    </row>
    <row r="322" spans="1:34" x14ac:dyDescent="0.3">
      <c r="B322" s="11" t="s">
        <v>925</v>
      </c>
      <c r="C322" s="116">
        <v>80</v>
      </c>
      <c r="D322" s="5"/>
      <c r="E322" s="5"/>
      <c r="F322" s="5"/>
      <c r="G322" s="5"/>
      <c r="H322" s="5"/>
      <c r="I322" s="5"/>
      <c r="J322" s="5"/>
      <c r="K322" s="5"/>
      <c r="L322" s="5"/>
      <c r="M322" s="5"/>
    </row>
    <row r="323" spans="1:34" x14ac:dyDescent="0.3">
      <c r="B323" s="11" t="s">
        <v>919</v>
      </c>
      <c r="C323" s="116">
        <v>1</v>
      </c>
      <c r="D323" s="5"/>
      <c r="E323" s="5"/>
      <c r="F323" s="5"/>
      <c r="G323" s="5"/>
      <c r="H323" s="5"/>
      <c r="I323" s="5"/>
      <c r="J323" s="5"/>
      <c r="K323" s="5"/>
      <c r="L323" s="5"/>
      <c r="M323" s="5"/>
    </row>
    <row r="324" spans="1:34" x14ac:dyDescent="0.3">
      <c r="B324" s="11" t="s">
        <v>918</v>
      </c>
      <c r="C324" s="6">
        <v>84</v>
      </c>
      <c r="D324" s="6">
        <v>178</v>
      </c>
      <c r="E324" s="6">
        <v>212</v>
      </c>
      <c r="F324" s="6">
        <v>396</v>
      </c>
      <c r="G324" s="5"/>
      <c r="H324" s="5"/>
      <c r="I324" s="5"/>
      <c r="J324" s="5"/>
      <c r="K324" s="5"/>
      <c r="L324" s="5"/>
      <c r="M324" s="5"/>
    </row>
    <row r="325" spans="1:34" x14ac:dyDescent="0.3">
      <c r="B325" s="17"/>
      <c r="C325" s="5" t="s">
        <v>511</v>
      </c>
      <c r="D325" s="5"/>
      <c r="E325" s="5"/>
      <c r="F325" s="5"/>
      <c r="G325" s="5"/>
      <c r="H325" s="5"/>
      <c r="I325" s="5"/>
      <c r="J325" s="5"/>
      <c r="K325" s="5"/>
      <c r="L325" s="5"/>
      <c r="M325" s="5"/>
    </row>
    <row r="326" spans="1:34" x14ac:dyDescent="0.3">
      <c r="A326" t="s">
        <v>436</v>
      </c>
      <c r="B326" s="62" t="s">
        <v>290</v>
      </c>
      <c r="C326" s="21" t="s">
        <v>1023</v>
      </c>
      <c r="D326" s="5"/>
      <c r="E326" s="5"/>
      <c r="F326" s="5"/>
      <c r="G326" s="5"/>
      <c r="H326" s="5"/>
      <c r="I326" s="5"/>
      <c r="J326" s="5"/>
      <c r="K326" s="5"/>
      <c r="L326" s="5"/>
      <c r="M326" s="5"/>
    </row>
    <row r="327" spans="1:34" x14ac:dyDescent="0.3">
      <c r="A327" t="s">
        <v>437</v>
      </c>
      <c r="B327" s="12" t="s">
        <v>914</v>
      </c>
      <c r="C327" s="6" t="s">
        <v>2</v>
      </c>
      <c r="D327" s="5"/>
      <c r="E327" s="5"/>
      <c r="F327" s="5"/>
      <c r="G327" s="5"/>
      <c r="H327" s="5"/>
      <c r="I327" s="5"/>
      <c r="J327" s="5"/>
      <c r="K327" s="5"/>
      <c r="L327" s="5"/>
      <c r="M327" s="5"/>
    </row>
    <row r="328" spans="1:34" x14ac:dyDescent="0.3">
      <c r="B328" s="11" t="s">
        <v>466</v>
      </c>
      <c r="C328" s="6">
        <v>2</v>
      </c>
      <c r="D328" s="5"/>
      <c r="E328" s="5"/>
      <c r="F328" s="5"/>
      <c r="G328" s="5"/>
      <c r="H328" s="5"/>
      <c r="I328" s="5"/>
      <c r="J328" s="5"/>
      <c r="K328" s="5"/>
      <c r="L328" s="5"/>
      <c r="M328" s="5"/>
    </row>
    <row r="329" spans="1:34" x14ac:dyDescent="0.3">
      <c r="B329" s="11" t="s">
        <v>467</v>
      </c>
      <c r="C329" s="6">
        <v>1</v>
      </c>
      <c r="D329" s="5"/>
      <c r="E329" s="5"/>
      <c r="F329" s="5"/>
      <c r="G329" s="5"/>
      <c r="H329" s="5"/>
      <c r="I329" s="5"/>
      <c r="J329" s="5"/>
      <c r="K329" s="5"/>
      <c r="L329" s="5"/>
      <c r="M329" s="5"/>
    </row>
    <row r="330" spans="1:34" x14ac:dyDescent="0.3">
      <c r="B330" s="11" t="s">
        <v>926</v>
      </c>
      <c r="C330" s="116">
        <v>80</v>
      </c>
      <c r="D330" s="116">
        <v>305</v>
      </c>
      <c r="E330" s="5"/>
      <c r="F330" s="5"/>
      <c r="G330" s="5"/>
      <c r="H330" s="5"/>
      <c r="I330" s="5"/>
      <c r="J330" s="5"/>
      <c r="K330" s="5"/>
      <c r="L330" s="5"/>
      <c r="M330" s="5"/>
    </row>
    <row r="331" spans="1:34" x14ac:dyDescent="0.3">
      <c r="B331" s="11" t="s">
        <v>468</v>
      </c>
      <c r="C331" s="6">
        <v>0.5</v>
      </c>
      <c r="D331" s="6">
        <v>0.5</v>
      </c>
      <c r="E331" s="5"/>
      <c r="F331" s="5"/>
      <c r="G331" s="5"/>
      <c r="H331" s="5"/>
      <c r="I331" s="5"/>
      <c r="J331" s="5"/>
      <c r="K331" s="5"/>
      <c r="L331" s="5"/>
      <c r="M331" s="5"/>
    </row>
    <row r="332" spans="1:34" x14ac:dyDescent="0.3">
      <c r="B332" s="11" t="s">
        <v>927</v>
      </c>
      <c r="C332" s="6">
        <v>396</v>
      </c>
      <c r="D332" s="5"/>
      <c r="E332" s="5"/>
      <c r="F332" s="5"/>
      <c r="G332" s="5"/>
      <c r="H332" s="5"/>
      <c r="I332" s="5"/>
      <c r="J332" s="5"/>
      <c r="K332" s="5"/>
      <c r="L332" s="5"/>
      <c r="M332" s="5"/>
    </row>
    <row r="333" spans="1:34" x14ac:dyDescent="0.3">
      <c r="B333" s="17"/>
      <c r="C333" s="5" t="s">
        <v>511</v>
      </c>
      <c r="D333" s="5"/>
      <c r="E333" s="5"/>
      <c r="F333" s="5"/>
      <c r="G333" s="5"/>
      <c r="H333" s="5"/>
      <c r="I333" s="5"/>
      <c r="J333" s="5"/>
      <c r="K333" s="5"/>
      <c r="L333" s="5"/>
      <c r="M333" s="5"/>
    </row>
    <row r="334" spans="1:34" x14ac:dyDescent="0.3">
      <c r="A334" s="25" t="s">
        <v>1298</v>
      </c>
      <c r="B334" s="62" t="s">
        <v>1300</v>
      </c>
      <c r="C334" s="21" t="s">
        <v>1024</v>
      </c>
      <c r="D334" s="5"/>
      <c r="E334" s="5"/>
      <c r="F334" s="5"/>
      <c r="G334" s="5"/>
      <c r="H334" s="5"/>
      <c r="I334" s="5"/>
      <c r="J334" s="5"/>
      <c r="K334" s="5"/>
      <c r="L334" s="5"/>
      <c r="M334" s="5"/>
    </row>
    <row r="335" spans="1:34" x14ac:dyDescent="0.3">
      <c r="A335" s="25" t="s">
        <v>1299</v>
      </c>
      <c r="B335" s="11" t="s">
        <v>913</v>
      </c>
      <c r="C335" s="6" t="s">
        <v>17</v>
      </c>
      <c r="D335" s="5"/>
      <c r="E335" s="5"/>
      <c r="F335" s="5"/>
      <c r="G335" s="5"/>
      <c r="H335" s="5"/>
      <c r="I335" s="5"/>
      <c r="J335" s="5"/>
      <c r="K335" s="5"/>
      <c r="L335" s="5"/>
      <c r="M335" s="5"/>
      <c r="AH335" s="3"/>
    </row>
    <row r="336" spans="1:34" x14ac:dyDescent="0.3">
      <c r="B336" s="11" t="s">
        <v>469</v>
      </c>
      <c r="C336" s="6">
        <v>2</v>
      </c>
      <c r="D336" s="5"/>
      <c r="E336" s="5"/>
      <c r="F336" s="5"/>
      <c r="G336" s="5"/>
      <c r="H336" s="5"/>
      <c r="I336" s="5"/>
      <c r="J336" s="5"/>
      <c r="K336" s="5"/>
      <c r="L336" s="5"/>
      <c r="M336" s="5"/>
    </row>
    <row r="337" spans="1:13" x14ac:dyDescent="0.3">
      <c r="B337" s="11" t="s">
        <v>928</v>
      </c>
      <c r="C337" s="116">
        <v>80</v>
      </c>
      <c r="D337" s="116">
        <v>305</v>
      </c>
      <c r="E337" s="5"/>
      <c r="F337" s="5"/>
      <c r="G337" s="5"/>
      <c r="H337" s="5"/>
      <c r="I337" s="5"/>
      <c r="J337" s="5"/>
      <c r="K337" s="5"/>
      <c r="L337" s="5"/>
      <c r="M337" s="5"/>
    </row>
    <row r="338" spans="1:13" x14ac:dyDescent="0.3">
      <c r="B338" s="11" t="s">
        <v>470</v>
      </c>
      <c r="C338" s="6">
        <v>0.5</v>
      </c>
      <c r="D338" s="6">
        <v>0.5</v>
      </c>
      <c r="E338" s="5"/>
      <c r="F338" s="5"/>
      <c r="G338" s="5"/>
      <c r="H338" s="5"/>
      <c r="I338" s="5"/>
      <c r="J338" s="5"/>
      <c r="K338" s="5"/>
      <c r="L338" s="5"/>
      <c r="M338" s="5"/>
    </row>
    <row r="339" spans="1:13" x14ac:dyDescent="0.3">
      <c r="B339" s="17"/>
      <c r="C339" s="5" t="s">
        <v>511</v>
      </c>
      <c r="D339" s="5"/>
      <c r="E339" s="5"/>
      <c r="F339" s="5"/>
      <c r="G339" s="5"/>
      <c r="H339" s="5"/>
      <c r="I339" s="5"/>
      <c r="J339" s="5"/>
      <c r="K339" s="5"/>
      <c r="L339" s="5"/>
      <c r="M339" s="5"/>
    </row>
    <row r="340" spans="1:13" x14ac:dyDescent="0.3">
      <c r="A340" t="s">
        <v>440</v>
      </c>
      <c r="B340" s="62" t="s">
        <v>450</v>
      </c>
      <c r="C340" s="21" t="s">
        <v>1025</v>
      </c>
      <c r="D340" s="5"/>
      <c r="E340" s="5"/>
      <c r="F340" s="5"/>
      <c r="G340" s="5"/>
      <c r="H340" s="5"/>
      <c r="I340" s="5"/>
      <c r="J340" s="5"/>
      <c r="K340" s="5"/>
      <c r="L340" s="5"/>
      <c r="M340" s="5"/>
    </row>
    <row r="341" spans="1:13" x14ac:dyDescent="0.3">
      <c r="A341" t="s">
        <v>437</v>
      </c>
      <c r="B341" s="11" t="s">
        <v>907</v>
      </c>
      <c r="C341" s="6" t="s">
        <v>2</v>
      </c>
      <c r="D341" s="5"/>
      <c r="E341" s="5"/>
      <c r="F341" s="5"/>
      <c r="G341" s="5"/>
      <c r="H341" s="5"/>
      <c r="I341" s="5"/>
      <c r="J341" s="5"/>
      <c r="K341" s="5"/>
      <c r="L341" s="5"/>
      <c r="M341" s="5"/>
    </row>
    <row r="342" spans="1:13" x14ac:dyDescent="0.3">
      <c r="B342" s="11" t="s">
        <v>908</v>
      </c>
      <c r="C342" s="6">
        <v>2</v>
      </c>
      <c r="D342" s="5"/>
      <c r="E342" s="5"/>
      <c r="F342" s="5"/>
      <c r="G342" s="5"/>
      <c r="H342" s="5"/>
      <c r="I342" s="5"/>
      <c r="J342" s="5"/>
      <c r="K342" s="5"/>
      <c r="L342" s="5"/>
      <c r="M342" s="5"/>
    </row>
    <row r="343" spans="1:13" x14ac:dyDescent="0.3">
      <c r="B343" s="11" t="s">
        <v>909</v>
      </c>
      <c r="C343" s="6" t="s">
        <v>17</v>
      </c>
      <c r="D343" s="5"/>
      <c r="E343" s="5"/>
      <c r="F343" s="5"/>
      <c r="G343" s="5"/>
      <c r="H343" s="5"/>
      <c r="I343" s="5"/>
      <c r="J343" s="5"/>
      <c r="K343" s="5"/>
      <c r="L343" s="5"/>
      <c r="M343" s="5"/>
    </row>
    <row r="344" spans="1:13" x14ac:dyDescent="0.3">
      <c r="B344" s="11" t="s">
        <v>910</v>
      </c>
      <c r="C344" s="116">
        <v>80</v>
      </c>
      <c r="D344" s="116">
        <v>305</v>
      </c>
      <c r="E344" s="5"/>
      <c r="F344" s="5"/>
      <c r="G344" s="5"/>
      <c r="H344" s="5"/>
      <c r="I344" s="5"/>
      <c r="J344" s="5"/>
      <c r="K344" s="5"/>
      <c r="L344" s="5"/>
      <c r="M344" s="5"/>
    </row>
    <row r="345" spans="1:13" x14ac:dyDescent="0.3">
      <c r="B345" s="11" t="s">
        <v>471</v>
      </c>
      <c r="C345" s="6">
        <v>0.5</v>
      </c>
      <c r="D345" s="6">
        <v>0.5</v>
      </c>
      <c r="E345" s="5"/>
      <c r="F345" s="5"/>
      <c r="G345" s="5"/>
      <c r="H345" s="5"/>
      <c r="I345" s="5"/>
      <c r="J345" s="5"/>
      <c r="K345" s="5"/>
      <c r="L345" s="5"/>
      <c r="M345" s="5"/>
    </row>
    <row r="346" spans="1:13" x14ac:dyDescent="0.3">
      <c r="B346" s="17"/>
      <c r="C346" s="5" t="s">
        <v>511</v>
      </c>
      <c r="D346" s="5"/>
      <c r="E346" s="5"/>
      <c r="F346" s="5"/>
      <c r="G346" s="5"/>
      <c r="H346" s="5"/>
      <c r="I346" s="5"/>
      <c r="J346" s="5"/>
      <c r="K346" s="5"/>
      <c r="L346" s="5"/>
      <c r="M346" s="5"/>
    </row>
    <row r="347" spans="1:13" x14ac:dyDescent="0.3">
      <c r="A347" t="s">
        <v>441</v>
      </c>
      <c r="B347" s="62" t="s">
        <v>472</v>
      </c>
      <c r="C347" s="21" t="s">
        <v>1026</v>
      </c>
      <c r="D347" s="5"/>
      <c r="E347" s="5"/>
      <c r="F347" s="5"/>
      <c r="G347" s="5"/>
      <c r="H347" s="5"/>
      <c r="I347" s="5"/>
      <c r="J347" s="5"/>
      <c r="K347" s="5"/>
      <c r="L347" s="5"/>
      <c r="M347" s="5"/>
    </row>
    <row r="348" spans="1:13" x14ac:dyDescent="0.3">
      <c r="A348" t="s">
        <v>437</v>
      </c>
      <c r="B348" s="11" t="s">
        <v>911</v>
      </c>
      <c r="C348" s="6" t="s">
        <v>17</v>
      </c>
      <c r="D348" s="5"/>
      <c r="E348" s="5"/>
      <c r="F348" s="5"/>
      <c r="G348" s="5"/>
      <c r="H348" s="5"/>
      <c r="I348" s="5"/>
      <c r="J348" s="5"/>
      <c r="K348" s="5"/>
      <c r="L348" s="5"/>
      <c r="M348" s="5"/>
    </row>
    <row r="349" spans="1:13" x14ac:dyDescent="0.3">
      <c r="B349" s="11" t="s">
        <v>912</v>
      </c>
      <c r="C349" s="6">
        <v>2</v>
      </c>
      <c r="D349" s="5"/>
      <c r="E349" s="5"/>
      <c r="F349" s="5"/>
      <c r="G349" s="5"/>
      <c r="H349" s="5"/>
      <c r="I349" s="5"/>
      <c r="J349" s="5"/>
      <c r="K349" s="5"/>
      <c r="L349" s="5"/>
      <c r="M349" s="5"/>
    </row>
    <row r="350" spans="1:13" x14ac:dyDescent="0.3">
      <c r="B350" s="11" t="s">
        <v>929</v>
      </c>
      <c r="C350" s="116">
        <v>80</v>
      </c>
      <c r="D350" s="116">
        <v>305</v>
      </c>
      <c r="E350" s="5"/>
      <c r="F350" s="5"/>
      <c r="G350" s="5"/>
      <c r="H350" s="5"/>
      <c r="I350" s="5"/>
      <c r="J350" s="5"/>
      <c r="K350" s="5"/>
      <c r="L350" s="5"/>
      <c r="M350" s="5"/>
    </row>
    <row r="351" spans="1:13" x14ac:dyDescent="0.3">
      <c r="B351" s="11" t="s">
        <v>473</v>
      </c>
      <c r="C351" s="6">
        <v>0.5</v>
      </c>
      <c r="D351" s="6">
        <v>0.5</v>
      </c>
      <c r="E351" s="5"/>
      <c r="F351" s="5"/>
      <c r="G351" s="5"/>
      <c r="H351" s="5"/>
      <c r="I351" s="5"/>
      <c r="J351" s="5"/>
      <c r="K351" s="5"/>
      <c r="L351" s="5"/>
      <c r="M351" s="5"/>
    </row>
    <row r="352" spans="1:13" x14ac:dyDescent="0.3">
      <c r="B352" s="17"/>
      <c r="C352" s="5" t="s">
        <v>511</v>
      </c>
      <c r="D352" s="5"/>
      <c r="E352" s="5"/>
      <c r="F352" s="5"/>
      <c r="G352" s="5"/>
      <c r="H352" s="5"/>
      <c r="I352" s="5"/>
      <c r="J352" s="5"/>
      <c r="K352" s="5"/>
      <c r="L352" s="5"/>
      <c r="M352" s="5"/>
    </row>
    <row r="353" spans="1:13" x14ac:dyDescent="0.3">
      <c r="A353" s="25" t="s">
        <v>2604</v>
      </c>
      <c r="B353" s="62" t="s">
        <v>474</v>
      </c>
      <c r="C353" s="21" t="s">
        <v>1027</v>
      </c>
      <c r="D353" s="21" t="s">
        <v>2414</v>
      </c>
      <c r="E353" s="21" t="s">
        <v>2415</v>
      </c>
      <c r="F353" s="21" t="s">
        <v>2416</v>
      </c>
      <c r="G353" s="21" t="s">
        <v>2417</v>
      </c>
      <c r="H353" s="5"/>
      <c r="I353" s="5"/>
      <c r="J353" s="5"/>
      <c r="K353" s="5"/>
      <c r="L353" s="5"/>
      <c r="M353" s="5"/>
    </row>
    <row r="354" spans="1:13" x14ac:dyDescent="0.3">
      <c r="A354" s="25" t="s">
        <v>2604</v>
      </c>
      <c r="B354" s="11" t="s">
        <v>475</v>
      </c>
      <c r="C354" s="6" t="s">
        <v>1085</v>
      </c>
      <c r="D354" s="6" t="s">
        <v>17</v>
      </c>
      <c r="E354" s="6" t="s">
        <v>17</v>
      </c>
      <c r="F354" s="6" t="s">
        <v>2</v>
      </c>
      <c r="G354" s="6" t="s">
        <v>2</v>
      </c>
      <c r="H354" s="5"/>
      <c r="I354" s="5"/>
      <c r="J354" s="5"/>
      <c r="K354" s="5"/>
      <c r="L354" s="5"/>
      <c r="M354" s="5"/>
    </row>
    <row r="355" spans="1:13" x14ac:dyDescent="0.3">
      <c r="B355" s="11" t="s">
        <v>476</v>
      </c>
      <c r="C355" s="6">
        <v>2</v>
      </c>
      <c r="D355" s="5"/>
      <c r="E355" s="5"/>
      <c r="F355" s="5"/>
      <c r="G355" s="5"/>
      <c r="H355" s="5"/>
      <c r="I355" s="5"/>
      <c r="J355" s="5"/>
      <c r="K355" s="5"/>
      <c r="L355" s="5"/>
      <c r="M355" s="5"/>
    </row>
    <row r="356" spans="1:13" x14ac:dyDescent="0.3">
      <c r="B356" s="11" t="s">
        <v>477</v>
      </c>
      <c r="C356" s="6">
        <v>4</v>
      </c>
      <c r="D356" s="5"/>
      <c r="E356" s="5"/>
      <c r="F356" s="5"/>
      <c r="G356" s="5"/>
      <c r="H356" s="5"/>
      <c r="I356" s="5"/>
      <c r="J356" s="5"/>
      <c r="K356" s="5"/>
      <c r="L356" s="5"/>
      <c r="M356" s="5"/>
    </row>
    <row r="357" spans="1:13" x14ac:dyDescent="0.3">
      <c r="B357" s="11" t="s">
        <v>442</v>
      </c>
      <c r="C357" s="6" t="s">
        <v>2418</v>
      </c>
      <c r="D357" s="5"/>
      <c r="E357" s="5"/>
      <c r="F357" s="5"/>
      <c r="G357" s="5"/>
      <c r="H357" s="5"/>
      <c r="I357" s="5"/>
      <c r="J357" s="5"/>
      <c r="K357" s="5"/>
      <c r="L357" s="5"/>
      <c r="M357" s="5"/>
    </row>
    <row r="358" spans="1:13" x14ac:dyDescent="0.3">
      <c r="B358" s="11" t="s">
        <v>930</v>
      </c>
      <c r="C358" s="115">
        <v>80</v>
      </c>
      <c r="D358" s="115">
        <v>305</v>
      </c>
      <c r="E358" s="5"/>
      <c r="F358" s="5"/>
      <c r="G358" s="5"/>
      <c r="H358" s="5"/>
      <c r="I358" s="5"/>
      <c r="J358" s="5"/>
      <c r="K358" s="5"/>
      <c r="L358" s="5"/>
      <c r="M358" s="5"/>
    </row>
    <row r="359" spans="1:13" x14ac:dyDescent="0.3">
      <c r="B359" s="11" t="s">
        <v>478</v>
      </c>
      <c r="C359" s="6">
        <v>2.5000000000000001E-2</v>
      </c>
      <c r="D359" s="6">
        <v>2.5000000000000001E-2</v>
      </c>
      <c r="E359" s="5"/>
      <c r="F359" s="5"/>
      <c r="G359" s="5"/>
      <c r="H359" s="5"/>
      <c r="I359" s="5"/>
      <c r="J359" s="5"/>
      <c r="K359" s="5"/>
      <c r="L359" s="5"/>
      <c r="M359" s="5"/>
    </row>
    <row r="360" spans="1:13" x14ac:dyDescent="0.3">
      <c r="B360" s="11" t="s">
        <v>479</v>
      </c>
      <c r="C360" s="6">
        <v>10</v>
      </c>
      <c r="D360" s="6">
        <v>24</v>
      </c>
      <c r="E360" s="6">
        <v>248</v>
      </c>
      <c r="F360" s="6">
        <v>396</v>
      </c>
      <c r="G360" s="5"/>
      <c r="H360" s="5"/>
      <c r="I360" s="5"/>
      <c r="J360" s="5"/>
      <c r="K360" s="5"/>
      <c r="L360" s="5"/>
      <c r="M360" s="5"/>
    </row>
    <row r="361" spans="1:13" x14ac:dyDescent="0.3">
      <c r="B361" s="11" t="s">
        <v>480</v>
      </c>
      <c r="C361" s="6">
        <v>0.5</v>
      </c>
      <c r="D361" s="6">
        <v>0.5</v>
      </c>
      <c r="E361" s="6">
        <v>0.5</v>
      </c>
      <c r="F361" s="6">
        <v>0.5</v>
      </c>
      <c r="G361" s="5"/>
      <c r="H361" s="5"/>
      <c r="I361" s="5"/>
      <c r="J361" s="5"/>
      <c r="K361" s="5"/>
      <c r="L361" s="5"/>
      <c r="M361" s="5"/>
    </row>
    <row r="362" spans="1:13" x14ac:dyDescent="0.3">
      <c r="B362" s="17"/>
      <c r="C362" s="5" t="s">
        <v>511</v>
      </c>
      <c r="D362" s="5"/>
      <c r="E362" s="5"/>
      <c r="F362" s="5"/>
      <c r="G362" s="5"/>
      <c r="H362" s="5"/>
      <c r="I362" s="5"/>
      <c r="J362" s="5"/>
      <c r="K362" s="5"/>
      <c r="L362" s="5"/>
      <c r="M362" s="5"/>
    </row>
    <row r="363" spans="1:13" x14ac:dyDescent="0.3">
      <c r="A363" s="25" t="s">
        <v>1292</v>
      </c>
      <c r="B363" s="62" t="s">
        <v>1285</v>
      </c>
      <c r="C363" s="21" t="s">
        <v>1301</v>
      </c>
      <c r="D363" s="5"/>
      <c r="E363" s="5"/>
      <c r="F363" s="5"/>
      <c r="G363" s="5"/>
      <c r="H363" s="5"/>
      <c r="I363" s="5"/>
      <c r="J363" s="5"/>
      <c r="K363" s="5"/>
      <c r="L363" s="5"/>
      <c r="M363" s="5"/>
    </row>
    <row r="364" spans="1:13" x14ac:dyDescent="0.3">
      <c r="A364" s="25" t="s">
        <v>1293</v>
      </c>
      <c r="B364" s="11" t="s">
        <v>1286</v>
      </c>
      <c r="C364" s="6" t="s">
        <v>2</v>
      </c>
      <c r="D364" s="5"/>
      <c r="E364" s="5"/>
      <c r="F364" s="5"/>
      <c r="G364" s="5"/>
      <c r="H364" s="5"/>
      <c r="I364" s="5"/>
      <c r="J364" s="5"/>
      <c r="K364" s="5"/>
      <c r="L364" s="5"/>
      <c r="M364" s="5"/>
    </row>
    <row r="365" spans="1:13" x14ac:dyDescent="0.3">
      <c r="B365" s="11" t="s">
        <v>1303</v>
      </c>
      <c r="C365" s="6">
        <v>1</v>
      </c>
      <c r="D365" s="5"/>
      <c r="E365" s="5"/>
      <c r="F365" s="5"/>
      <c r="G365" s="5"/>
      <c r="H365" s="5"/>
      <c r="I365" s="5"/>
      <c r="J365" s="5"/>
      <c r="K365" s="5"/>
      <c r="L365" s="5"/>
      <c r="M365" s="5"/>
    </row>
    <row r="366" spans="1:13" x14ac:dyDescent="0.3">
      <c r="B366" s="17"/>
      <c r="C366" s="5" t="s">
        <v>511</v>
      </c>
      <c r="D366" s="5"/>
      <c r="E366" s="5"/>
      <c r="F366" s="5"/>
      <c r="G366" s="5"/>
      <c r="H366" s="5"/>
      <c r="I366" s="5"/>
      <c r="J366" s="5"/>
      <c r="K366" s="5"/>
      <c r="L366" s="5"/>
      <c r="M366" s="5"/>
    </row>
    <row r="367" spans="1:13" x14ac:dyDescent="0.3">
      <c r="A367" s="25" t="s">
        <v>1294</v>
      </c>
      <c r="B367" s="62" t="s">
        <v>1287</v>
      </c>
      <c r="C367" s="21" t="s">
        <v>1288</v>
      </c>
      <c r="D367" s="5"/>
      <c r="E367" s="5"/>
      <c r="F367" s="5"/>
      <c r="G367" s="5"/>
      <c r="H367" s="5"/>
      <c r="I367" s="5"/>
      <c r="J367" s="5"/>
      <c r="K367" s="5"/>
      <c r="L367" s="5"/>
      <c r="M367" s="5"/>
    </row>
    <row r="368" spans="1:13" x14ac:dyDescent="0.3">
      <c r="A368" s="25" t="s">
        <v>1295</v>
      </c>
      <c r="B368" s="11" t="s">
        <v>1803</v>
      </c>
      <c r="C368" s="6" t="s">
        <v>2</v>
      </c>
      <c r="D368" s="5"/>
      <c r="E368" s="5"/>
      <c r="F368" s="5"/>
      <c r="G368" s="5"/>
      <c r="H368" s="5"/>
      <c r="I368" s="5"/>
      <c r="J368" s="5"/>
      <c r="K368" s="5"/>
      <c r="L368" s="5"/>
      <c r="M368" s="5"/>
    </row>
    <row r="369" spans="1:13" x14ac:dyDescent="0.3">
      <c r="B369" s="11" t="s">
        <v>1289</v>
      </c>
      <c r="C369" s="115">
        <v>1</v>
      </c>
      <c r="D369" s="5"/>
      <c r="E369" s="5"/>
      <c r="F369" s="5"/>
      <c r="G369" s="5"/>
      <c r="H369" s="5"/>
      <c r="I369" s="5"/>
      <c r="J369" s="5"/>
      <c r="K369" s="5"/>
      <c r="L369" s="5"/>
      <c r="M369" s="5"/>
    </row>
    <row r="370" spans="1:13" x14ac:dyDescent="0.3">
      <c r="B370" s="17"/>
      <c r="C370" s="5" t="s">
        <v>511</v>
      </c>
      <c r="D370" s="5"/>
      <c r="E370" s="5"/>
      <c r="F370" s="5"/>
      <c r="G370" s="5"/>
      <c r="H370" s="5"/>
      <c r="I370" s="5"/>
      <c r="J370" s="5"/>
      <c r="K370" s="5"/>
      <c r="L370" s="5"/>
      <c r="M370" s="5"/>
    </row>
    <row r="371" spans="1:13" x14ac:dyDescent="0.3">
      <c r="A371" s="25" t="s">
        <v>1296</v>
      </c>
      <c r="B371" s="62" t="s">
        <v>1302</v>
      </c>
      <c r="C371" s="21" t="s">
        <v>1290</v>
      </c>
      <c r="D371" s="5"/>
      <c r="E371" s="5"/>
      <c r="F371" s="5"/>
      <c r="G371" s="5"/>
      <c r="H371" s="5"/>
      <c r="I371" s="5"/>
      <c r="J371" s="5"/>
      <c r="K371" s="5"/>
      <c r="L371" s="5"/>
      <c r="M371" s="5"/>
    </row>
    <row r="372" spans="1:13" x14ac:dyDescent="0.3">
      <c r="A372" s="25" t="s">
        <v>1295</v>
      </c>
      <c r="B372" s="11" t="s">
        <v>1804</v>
      </c>
      <c r="C372" s="6" t="s">
        <v>17</v>
      </c>
      <c r="D372" s="5"/>
      <c r="E372" s="5"/>
      <c r="F372" s="5"/>
      <c r="G372" s="5"/>
      <c r="H372" s="5"/>
      <c r="I372" s="5"/>
      <c r="J372" s="5"/>
      <c r="K372" s="5"/>
      <c r="L372" s="5"/>
      <c r="M372" s="5"/>
    </row>
    <row r="373" spans="1:13" x14ac:dyDescent="0.3">
      <c r="A373" s="25" t="s">
        <v>1297</v>
      </c>
      <c r="B373" s="11" t="s">
        <v>1291</v>
      </c>
      <c r="C373" s="115">
        <v>1</v>
      </c>
      <c r="D373" s="5"/>
      <c r="E373" s="5"/>
      <c r="F373" s="5"/>
      <c r="G373" s="5"/>
      <c r="H373" s="5"/>
      <c r="I373" s="5"/>
      <c r="J373" s="5"/>
      <c r="K373" s="5"/>
      <c r="L373" s="5"/>
      <c r="M373" s="5"/>
    </row>
    <row r="374" spans="1:13" x14ac:dyDescent="0.3">
      <c r="B374" s="17"/>
      <c r="C374" s="5" t="s">
        <v>511</v>
      </c>
      <c r="D374" s="5"/>
      <c r="E374" s="5"/>
      <c r="F374" s="5"/>
      <c r="G374" s="5"/>
      <c r="H374" s="5"/>
      <c r="I374" s="5"/>
      <c r="J374" s="5"/>
      <c r="K374" s="5"/>
      <c r="L374" s="5"/>
      <c r="M374" s="5"/>
    </row>
    <row r="375" spans="1:13" x14ac:dyDescent="0.3">
      <c r="B375" s="62" t="s">
        <v>481</v>
      </c>
      <c r="C375" s="21" t="s">
        <v>1028</v>
      </c>
      <c r="D375" s="5"/>
      <c r="E375" s="5"/>
      <c r="F375" s="5"/>
      <c r="G375" s="5"/>
      <c r="H375" s="5"/>
      <c r="I375" s="5"/>
      <c r="J375" s="5"/>
      <c r="K375" s="5"/>
      <c r="L375" s="5"/>
      <c r="M375" s="5"/>
    </row>
    <row r="376" spans="1:13" x14ac:dyDescent="0.3">
      <c r="B376" s="11" t="s">
        <v>482</v>
      </c>
      <c r="C376" s="6" t="s">
        <v>2</v>
      </c>
      <c r="D376" s="5"/>
      <c r="E376" s="5"/>
      <c r="F376" s="5"/>
      <c r="G376" s="5"/>
      <c r="H376" s="5"/>
      <c r="I376" s="5"/>
      <c r="J376" s="5"/>
      <c r="K376" s="5"/>
      <c r="L376" s="5"/>
      <c r="M376" s="5"/>
    </row>
    <row r="377" spans="1:13" x14ac:dyDescent="0.3">
      <c r="B377" s="11" t="s">
        <v>483</v>
      </c>
      <c r="C377" s="6">
        <v>2</v>
      </c>
      <c r="D377" s="5"/>
      <c r="E377" s="5"/>
      <c r="F377" s="5"/>
      <c r="G377" s="5"/>
      <c r="H377" s="5"/>
      <c r="I377" s="5"/>
      <c r="J377" s="5"/>
      <c r="K377" s="5"/>
      <c r="L377" s="5"/>
      <c r="M377" s="5"/>
    </row>
    <row r="378" spans="1:13" x14ac:dyDescent="0.3">
      <c r="B378" s="11" t="s">
        <v>484</v>
      </c>
      <c r="C378" s="6">
        <v>1</v>
      </c>
      <c r="D378" s="5"/>
      <c r="E378" s="5"/>
      <c r="F378" s="5"/>
      <c r="G378" s="5"/>
      <c r="H378" s="5"/>
      <c r="I378" s="5"/>
      <c r="J378" s="5"/>
      <c r="K378" s="5"/>
      <c r="L378" s="5"/>
      <c r="M378" s="5"/>
    </row>
    <row r="379" spans="1:13" x14ac:dyDescent="0.3">
      <c r="B379" s="11" t="s">
        <v>443</v>
      </c>
      <c r="C379" s="6" t="s">
        <v>2675</v>
      </c>
      <c r="D379" s="5"/>
      <c r="E379" s="5"/>
      <c r="F379" s="5"/>
      <c r="G379" s="5"/>
      <c r="H379" s="5"/>
      <c r="I379" s="5"/>
      <c r="J379" s="5"/>
      <c r="K379" s="5"/>
      <c r="L379" s="5"/>
      <c r="M379" s="5"/>
    </row>
    <row r="380" spans="1:13" x14ac:dyDescent="0.3">
      <c r="B380" s="11" t="s">
        <v>931</v>
      </c>
      <c r="C380" s="115">
        <v>80</v>
      </c>
      <c r="D380" s="115">
        <v>305</v>
      </c>
      <c r="E380" s="5"/>
      <c r="F380" s="5"/>
      <c r="G380" s="5"/>
      <c r="H380" s="5"/>
      <c r="I380" s="5"/>
      <c r="J380" s="5"/>
      <c r="K380" s="5"/>
      <c r="L380" s="5"/>
      <c r="M380" s="5"/>
    </row>
    <row r="381" spans="1:13" x14ac:dyDescent="0.3">
      <c r="B381" s="11" t="s">
        <v>485</v>
      </c>
      <c r="C381" s="6">
        <v>0.05</v>
      </c>
      <c r="D381" s="6">
        <v>0.05</v>
      </c>
      <c r="E381" s="5"/>
      <c r="F381" s="5"/>
      <c r="G381" s="5"/>
      <c r="H381" s="5"/>
      <c r="I381" s="5"/>
      <c r="J381" s="5"/>
      <c r="K381" s="5"/>
      <c r="L381" s="5"/>
      <c r="M381" s="5"/>
    </row>
    <row r="382" spans="1:13" x14ac:dyDescent="0.3">
      <c r="B382" s="11" t="s">
        <v>486</v>
      </c>
      <c r="C382" s="6">
        <v>396</v>
      </c>
      <c r="D382" s="5"/>
      <c r="E382" s="5"/>
      <c r="F382" s="5"/>
      <c r="G382" s="5"/>
      <c r="H382" s="5"/>
      <c r="I382" s="5"/>
      <c r="J382" s="5"/>
      <c r="K382" s="5"/>
      <c r="L382" s="5"/>
      <c r="M382" s="5"/>
    </row>
    <row r="383" spans="1:13" x14ac:dyDescent="0.3">
      <c r="B383" s="17"/>
      <c r="C383" s="5" t="s">
        <v>511</v>
      </c>
      <c r="D383" s="5"/>
      <c r="E383" s="5"/>
      <c r="F383" s="5"/>
      <c r="G383" s="5"/>
      <c r="H383" s="5"/>
      <c r="I383" s="5"/>
      <c r="J383" s="5"/>
      <c r="K383" s="5"/>
      <c r="L383" s="5"/>
      <c r="M383" s="5"/>
    </row>
    <row r="384" spans="1:13" x14ac:dyDescent="0.3">
      <c r="B384" s="62" t="s">
        <v>49</v>
      </c>
      <c r="C384" s="21" t="s">
        <v>49</v>
      </c>
      <c r="D384" s="5"/>
      <c r="E384" s="5"/>
      <c r="F384" s="5"/>
      <c r="G384" s="5"/>
      <c r="H384" s="5"/>
      <c r="I384" s="5"/>
      <c r="J384" s="5"/>
      <c r="K384" s="5"/>
      <c r="L384" s="5"/>
      <c r="M384" s="5"/>
    </row>
    <row r="385" spans="1:44" x14ac:dyDescent="0.3">
      <c r="B385" s="11" t="s">
        <v>487</v>
      </c>
      <c r="C385" s="6" t="s">
        <v>17</v>
      </c>
      <c r="D385" s="5"/>
      <c r="E385" s="5"/>
      <c r="F385" s="5"/>
      <c r="G385" s="5"/>
      <c r="H385" s="5"/>
      <c r="I385" s="5"/>
      <c r="J385" s="5"/>
      <c r="K385" s="5"/>
      <c r="L385" s="5"/>
      <c r="M385" s="5"/>
    </row>
    <row r="386" spans="1:44" x14ac:dyDescent="0.3">
      <c r="B386" s="11" t="s">
        <v>488</v>
      </c>
      <c r="C386" s="6">
        <v>1</v>
      </c>
      <c r="D386" s="5"/>
      <c r="E386" s="5"/>
      <c r="F386" s="5"/>
      <c r="G386" s="5"/>
      <c r="H386" s="5"/>
      <c r="I386" s="5"/>
      <c r="J386" s="5"/>
      <c r="K386" s="5"/>
      <c r="L386" s="5"/>
      <c r="M386" s="5"/>
    </row>
    <row r="387" spans="1:44" x14ac:dyDescent="0.3">
      <c r="B387" s="11" t="s">
        <v>572</v>
      </c>
      <c r="C387" s="6" t="s">
        <v>17</v>
      </c>
      <c r="D387" s="5"/>
      <c r="E387" s="5"/>
      <c r="F387" s="5"/>
      <c r="G387" s="5"/>
      <c r="H387" s="5"/>
      <c r="I387" s="5"/>
      <c r="J387" s="5"/>
      <c r="K387" s="5"/>
      <c r="L387" s="5"/>
      <c r="M387" s="5"/>
    </row>
    <row r="388" spans="1:44" x14ac:dyDescent="0.3">
      <c r="B388" s="11" t="s">
        <v>489</v>
      </c>
      <c r="C388" s="6" t="s">
        <v>2419</v>
      </c>
      <c r="D388" s="5"/>
      <c r="E388" s="5"/>
      <c r="F388" s="5"/>
      <c r="G388" s="5"/>
      <c r="H388" s="5"/>
      <c r="I388" s="5"/>
      <c r="J388" s="5"/>
      <c r="K388" s="5"/>
      <c r="L388" s="5"/>
      <c r="M388" s="5"/>
    </row>
    <row r="389" spans="1:44" x14ac:dyDescent="0.3">
      <c r="B389" s="11" t="s">
        <v>932</v>
      </c>
      <c r="C389" s="115">
        <v>80</v>
      </c>
      <c r="D389" s="5"/>
      <c r="E389" s="5"/>
      <c r="F389" s="5"/>
      <c r="G389" s="5"/>
      <c r="H389" s="5"/>
      <c r="I389" s="5"/>
      <c r="J389" s="5"/>
      <c r="K389" s="5"/>
      <c r="L389" s="5"/>
      <c r="M389" s="5"/>
      <c r="AA389" s="3"/>
    </row>
    <row r="390" spans="1:44" x14ac:dyDescent="0.3">
      <c r="B390" s="11" t="s">
        <v>933</v>
      </c>
      <c r="C390" s="115">
        <v>10</v>
      </c>
      <c r="D390" s="5"/>
      <c r="E390" s="5"/>
      <c r="F390" s="5"/>
      <c r="G390" s="5"/>
      <c r="H390" s="5"/>
      <c r="I390" s="5"/>
      <c r="J390" s="5"/>
      <c r="K390" s="5"/>
      <c r="L390" s="5"/>
      <c r="M390" s="5"/>
    </row>
    <row r="391" spans="1:44" x14ac:dyDescent="0.3">
      <c r="B391" s="17"/>
      <c r="C391" s="5" t="s">
        <v>511</v>
      </c>
      <c r="D391" s="5"/>
      <c r="E391" s="5"/>
      <c r="F391" s="5"/>
      <c r="G391" s="5"/>
      <c r="H391" s="5"/>
      <c r="I391" s="5"/>
      <c r="J391" s="5"/>
      <c r="K391" s="5"/>
      <c r="L391" s="5"/>
      <c r="M391" s="5"/>
    </row>
    <row r="392" spans="1:44" x14ac:dyDescent="0.3">
      <c r="A392" s="8" t="s">
        <v>1521</v>
      </c>
      <c r="B392" s="62" t="s">
        <v>570</v>
      </c>
      <c r="C392" s="21" t="s">
        <v>50</v>
      </c>
      <c r="D392" s="21" t="s">
        <v>51</v>
      </c>
      <c r="E392" s="21" t="s">
        <v>52</v>
      </c>
      <c r="F392" s="21" t="s">
        <v>1520</v>
      </c>
      <c r="G392" s="21" t="s">
        <v>1519</v>
      </c>
      <c r="H392" s="5"/>
      <c r="I392" s="5"/>
      <c r="J392" s="5"/>
      <c r="K392" s="5"/>
      <c r="L392" s="5"/>
      <c r="M392" s="5"/>
    </row>
    <row r="393" spans="1:44" x14ac:dyDescent="0.3">
      <c r="A393" s="58" t="s">
        <v>1522</v>
      </c>
      <c r="B393" s="11" t="s">
        <v>1523</v>
      </c>
      <c r="C393" s="6" t="s">
        <v>2</v>
      </c>
      <c r="D393" s="6" t="s">
        <v>17</v>
      </c>
      <c r="E393" s="6">
        <v>1</v>
      </c>
      <c r="F393" s="6">
        <v>399.39699999999999</v>
      </c>
      <c r="G393" s="64" t="s">
        <v>2</v>
      </c>
      <c r="H393" s="5"/>
      <c r="I393" s="5"/>
      <c r="J393" s="5"/>
      <c r="K393" s="5"/>
      <c r="L393" s="5"/>
      <c r="M393" s="5"/>
    </row>
    <row r="394" spans="1:44" x14ac:dyDescent="0.3">
      <c r="B394" s="17"/>
      <c r="C394" s="5" t="s">
        <v>511</v>
      </c>
      <c r="D394" s="5"/>
      <c r="E394" s="5"/>
      <c r="F394" s="5"/>
      <c r="G394" s="5"/>
      <c r="H394" s="5"/>
      <c r="I394" s="5"/>
      <c r="J394" s="5"/>
      <c r="K394" s="5"/>
      <c r="L394" s="10"/>
      <c r="M394" s="5"/>
    </row>
    <row r="395" spans="1:44" x14ac:dyDescent="0.3">
      <c r="B395" s="62" t="s">
        <v>1272</v>
      </c>
      <c r="C395" s="21" t="s">
        <v>110</v>
      </c>
      <c r="D395" s="21" t="s">
        <v>111</v>
      </c>
      <c r="E395" s="21" t="s">
        <v>112</v>
      </c>
      <c r="F395" s="5" t="s">
        <v>113</v>
      </c>
      <c r="G395" s="5" t="s">
        <v>114</v>
      </c>
      <c r="H395" s="5" t="s">
        <v>115</v>
      </c>
      <c r="I395" s="5" t="s">
        <v>116</v>
      </c>
      <c r="J395" s="5" t="s">
        <v>117</v>
      </c>
      <c r="K395" s="5" t="s">
        <v>121</v>
      </c>
      <c r="L395" s="10" t="s">
        <v>122</v>
      </c>
      <c r="M395" s="5"/>
    </row>
    <row r="396" spans="1:44" x14ac:dyDescent="0.3">
      <c r="B396" s="11" t="s">
        <v>1282</v>
      </c>
      <c r="C396" s="6" t="s">
        <v>17</v>
      </c>
      <c r="D396" s="6" t="s">
        <v>17</v>
      </c>
      <c r="E396" s="6" t="s">
        <v>17</v>
      </c>
      <c r="F396" s="5"/>
      <c r="G396" s="5"/>
      <c r="H396" s="5"/>
      <c r="I396" s="5"/>
      <c r="J396" s="5"/>
      <c r="K396" s="5"/>
      <c r="L396" s="10"/>
      <c r="M396" s="5"/>
    </row>
    <row r="397" spans="1:44" x14ac:dyDescent="0.3">
      <c r="B397" s="11" t="s">
        <v>1281</v>
      </c>
      <c r="C397" s="6" t="s">
        <v>17</v>
      </c>
      <c r="D397" s="6" t="s">
        <v>17</v>
      </c>
      <c r="E397" s="6" t="s">
        <v>17</v>
      </c>
      <c r="F397" s="5"/>
      <c r="G397" s="5"/>
      <c r="H397" s="5"/>
      <c r="I397" s="5"/>
      <c r="J397" s="5"/>
      <c r="K397" s="5"/>
      <c r="L397" s="10"/>
      <c r="M397" s="5"/>
    </row>
    <row r="398" spans="1:44" ht="15.6" x14ac:dyDescent="0.3">
      <c r="A398" s="29" t="s">
        <v>1004</v>
      </c>
      <c r="B398" s="107">
        <f>C22+D22+NAL+G22*3+32+I22+4</f>
        <v>66</v>
      </c>
      <c r="C398" s="5"/>
      <c r="D398" s="5"/>
      <c r="E398" s="5"/>
      <c r="F398" s="4"/>
      <c r="G398" s="5"/>
      <c r="H398" s="5" t="s">
        <v>1061</v>
      </c>
      <c r="I398" s="5"/>
      <c r="J398" s="5"/>
      <c r="K398" s="5"/>
      <c r="L398" s="5"/>
      <c r="M398" s="7"/>
    </row>
    <row r="399" spans="1:44" x14ac:dyDescent="0.3">
      <c r="B399" s="62" t="s">
        <v>571</v>
      </c>
      <c r="C399" s="21" t="s">
        <v>568</v>
      </c>
      <c r="D399" s="21" t="s">
        <v>1099</v>
      </c>
      <c r="E399" s="21" t="s">
        <v>1100</v>
      </c>
      <c r="F399" s="21" t="s">
        <v>1101</v>
      </c>
      <c r="G399" s="21" t="s">
        <v>1102</v>
      </c>
      <c r="H399" s="21" t="s">
        <v>1103</v>
      </c>
      <c r="I399" s="21" t="s">
        <v>2627</v>
      </c>
      <c r="J399" s="21" t="s">
        <v>2713</v>
      </c>
      <c r="K399" s="21" t="s">
        <v>1104</v>
      </c>
      <c r="L399" s="21" t="s">
        <v>2630</v>
      </c>
      <c r="M399" s="21" t="s">
        <v>2714</v>
      </c>
      <c r="N399" s="21" t="s">
        <v>2629</v>
      </c>
      <c r="O399" s="21" t="s">
        <v>2628</v>
      </c>
      <c r="P399" s="21" t="s">
        <v>2715</v>
      </c>
      <c r="Q399" s="21" t="s">
        <v>1105</v>
      </c>
      <c r="R399" s="21" t="s">
        <v>2461</v>
      </c>
      <c r="S399" s="21" t="s">
        <v>2462</v>
      </c>
      <c r="T399" s="21" t="s">
        <v>2463</v>
      </c>
      <c r="U399" s="21" t="s">
        <v>2464</v>
      </c>
      <c r="V399" s="21" t="s">
        <v>2465</v>
      </c>
      <c r="W399" s="21" t="s">
        <v>1200</v>
      </c>
      <c r="X399" s="21" t="s">
        <v>2716</v>
      </c>
      <c r="Y399" s="21" t="s">
        <v>2717</v>
      </c>
      <c r="Z399" s="21" t="s">
        <v>2718</v>
      </c>
      <c r="AA399" s="21" t="s">
        <v>2719</v>
      </c>
      <c r="AB399" s="21" t="s">
        <v>2720</v>
      </c>
      <c r="AC399" s="21" t="s">
        <v>2721</v>
      </c>
      <c r="AD399" s="21" t="s">
        <v>2722</v>
      </c>
      <c r="AE399" s="21" t="s">
        <v>2723</v>
      </c>
      <c r="AF399" s="21" t="s">
        <v>2724</v>
      </c>
      <c r="AG399" s="21" t="s">
        <v>1201</v>
      </c>
      <c r="AH399" s="21" t="s">
        <v>2466</v>
      </c>
      <c r="AI399" s="21" t="s">
        <v>2467</v>
      </c>
      <c r="AJ399" s="21" t="s">
        <v>2468</v>
      </c>
      <c r="AK399" s="21" t="s">
        <v>2469</v>
      </c>
      <c r="AL399" s="21" t="s">
        <v>2470</v>
      </c>
      <c r="AM399" s="21" t="s">
        <v>1258</v>
      </c>
      <c r="AN399" s="21" t="s">
        <v>2471</v>
      </c>
      <c r="AO399" s="21" t="s">
        <v>2472</v>
      </c>
      <c r="AP399" s="21" t="s">
        <v>2473</v>
      </c>
      <c r="AQ399" s="21" t="s">
        <v>2474</v>
      </c>
      <c r="AR399" s="21" t="s">
        <v>2475</v>
      </c>
    </row>
    <row r="400" spans="1:44" x14ac:dyDescent="0.3">
      <c r="A400" t="s">
        <v>657</v>
      </c>
      <c r="B400" s="11">
        <v>1</v>
      </c>
      <c r="C400" s="13" t="s">
        <v>1106</v>
      </c>
      <c r="D400" s="6" t="s">
        <v>2422</v>
      </c>
      <c r="E400" s="6" t="s">
        <v>17</v>
      </c>
      <c r="F400" s="6" t="s">
        <v>2620</v>
      </c>
      <c r="G400" s="6">
        <v>1</v>
      </c>
      <c r="H400" s="116">
        <v>70</v>
      </c>
      <c r="I400" s="116">
        <v>70</v>
      </c>
      <c r="J400" s="116">
        <v>70</v>
      </c>
      <c r="K400" s="6" t="s">
        <v>17</v>
      </c>
      <c r="L400" s="6" t="s">
        <v>17</v>
      </c>
      <c r="M400" s="6" t="s">
        <v>17</v>
      </c>
      <c r="N400" s="6" t="s">
        <v>17</v>
      </c>
      <c r="O400" s="6" t="s">
        <v>17</v>
      </c>
      <c r="P400" s="6" t="s">
        <v>17</v>
      </c>
      <c r="Q400" s="6" t="s">
        <v>17</v>
      </c>
      <c r="R400" s="6" t="s">
        <v>17</v>
      </c>
      <c r="S400" s="6" t="s">
        <v>17</v>
      </c>
      <c r="T400" s="6" t="s">
        <v>17</v>
      </c>
      <c r="U400" s="6" t="s">
        <v>17</v>
      </c>
      <c r="V400" s="6" t="s">
        <v>17</v>
      </c>
      <c r="W400" s="6" t="s">
        <v>17</v>
      </c>
      <c r="X400" s="6" t="s">
        <v>17</v>
      </c>
      <c r="Y400" s="6" t="s">
        <v>17</v>
      </c>
      <c r="Z400" s="6" t="s">
        <v>17</v>
      </c>
      <c r="AA400" s="6" t="s">
        <v>17</v>
      </c>
      <c r="AB400" s="6" t="s">
        <v>17</v>
      </c>
      <c r="AC400" s="6" t="s">
        <v>17</v>
      </c>
      <c r="AD400" s="6" t="s">
        <v>17</v>
      </c>
      <c r="AE400" s="6" t="s">
        <v>17</v>
      </c>
      <c r="AF400" s="6" t="s">
        <v>17</v>
      </c>
      <c r="AG400" s="6" t="s">
        <v>17</v>
      </c>
      <c r="AH400" s="6" t="s">
        <v>17</v>
      </c>
      <c r="AI400" s="6" t="s">
        <v>17</v>
      </c>
      <c r="AJ400" s="6" t="s">
        <v>17</v>
      </c>
      <c r="AK400" s="6" t="s">
        <v>17</v>
      </c>
      <c r="AL400" s="6" t="s">
        <v>17</v>
      </c>
      <c r="AM400" s="6" t="s">
        <v>17</v>
      </c>
      <c r="AN400" s="6" t="s">
        <v>17</v>
      </c>
      <c r="AO400" s="6" t="s">
        <v>17</v>
      </c>
      <c r="AP400" s="6" t="s">
        <v>17</v>
      </c>
      <c r="AQ400" s="6" t="s">
        <v>17</v>
      </c>
      <c r="AR400" s="6" t="s">
        <v>17</v>
      </c>
    </row>
    <row r="401" spans="1:44" x14ac:dyDescent="0.3">
      <c r="A401" s="26" t="s">
        <v>1005</v>
      </c>
      <c r="B401" s="11">
        <v>2</v>
      </c>
      <c r="C401" s="13" t="s">
        <v>2676</v>
      </c>
      <c r="D401" s="6" t="s">
        <v>2869</v>
      </c>
      <c r="E401" s="6" t="s">
        <v>2</v>
      </c>
      <c r="F401" s="6" t="s">
        <v>2620</v>
      </c>
      <c r="G401" s="6">
        <v>1</v>
      </c>
      <c r="H401" s="116">
        <v>0</v>
      </c>
      <c r="I401" s="116">
        <v>0</v>
      </c>
      <c r="J401" s="116">
        <v>0</v>
      </c>
      <c r="K401" s="6" t="s">
        <v>2</v>
      </c>
      <c r="L401" s="6" t="s">
        <v>2</v>
      </c>
      <c r="M401" s="6" t="s">
        <v>2</v>
      </c>
      <c r="N401" s="6" t="s">
        <v>17</v>
      </c>
      <c r="O401" s="6" t="s">
        <v>17</v>
      </c>
      <c r="P401" s="6" t="s">
        <v>17</v>
      </c>
      <c r="Q401" s="6" t="s">
        <v>2</v>
      </c>
      <c r="R401" s="6" t="s">
        <v>17</v>
      </c>
      <c r="S401" s="6" t="s">
        <v>17</v>
      </c>
      <c r="T401" s="6" t="s">
        <v>17</v>
      </c>
      <c r="U401" s="6" t="s">
        <v>17</v>
      </c>
      <c r="V401" s="6" t="s">
        <v>17</v>
      </c>
      <c r="W401" s="6" t="s">
        <v>17</v>
      </c>
      <c r="X401" s="6" t="s">
        <v>17</v>
      </c>
      <c r="Y401" s="6" t="s">
        <v>17</v>
      </c>
      <c r="Z401" s="6" t="s">
        <v>17</v>
      </c>
      <c r="AA401" s="6" t="s">
        <v>17</v>
      </c>
      <c r="AB401" s="6" t="s">
        <v>17</v>
      </c>
      <c r="AC401" s="6" t="s">
        <v>17</v>
      </c>
      <c r="AD401" s="6" t="s">
        <v>17</v>
      </c>
      <c r="AE401" s="6" t="s">
        <v>17</v>
      </c>
      <c r="AF401" s="6" t="s">
        <v>17</v>
      </c>
      <c r="AG401" s="6" t="s">
        <v>17</v>
      </c>
      <c r="AH401" s="6" t="s">
        <v>17</v>
      </c>
      <c r="AI401" s="6" t="s">
        <v>17</v>
      </c>
      <c r="AJ401" s="6" t="s">
        <v>17</v>
      </c>
      <c r="AK401" s="6" t="s">
        <v>17</v>
      </c>
      <c r="AL401" s="6" t="s">
        <v>17</v>
      </c>
      <c r="AM401" s="6" t="s">
        <v>17</v>
      </c>
      <c r="AN401" s="6" t="s">
        <v>17</v>
      </c>
      <c r="AO401" s="6" t="s">
        <v>17</v>
      </c>
      <c r="AP401" s="6" t="s">
        <v>17</v>
      </c>
      <c r="AQ401" s="6" t="s">
        <v>17</v>
      </c>
      <c r="AR401" s="6" t="s">
        <v>17</v>
      </c>
    </row>
    <row r="402" spans="1:44" x14ac:dyDescent="0.3">
      <c r="B402" s="11">
        <v>3</v>
      </c>
      <c r="C402" s="13" t="s">
        <v>2677</v>
      </c>
      <c r="D402" s="6" t="s">
        <v>2868</v>
      </c>
      <c r="E402" s="6" t="s">
        <v>2</v>
      </c>
      <c r="F402" s="6" t="s">
        <v>2620</v>
      </c>
      <c r="G402" s="6">
        <v>1</v>
      </c>
      <c r="H402" s="116">
        <v>0</v>
      </c>
      <c r="I402" s="116">
        <v>0</v>
      </c>
      <c r="J402" s="116">
        <v>0</v>
      </c>
      <c r="K402" s="6" t="s">
        <v>2</v>
      </c>
      <c r="L402" s="6" t="s">
        <v>2</v>
      </c>
      <c r="M402" s="6" t="s">
        <v>2</v>
      </c>
      <c r="N402" s="6" t="s">
        <v>17</v>
      </c>
      <c r="O402" s="6" t="s">
        <v>17</v>
      </c>
      <c r="P402" s="6" t="s">
        <v>17</v>
      </c>
      <c r="Q402" s="6" t="s">
        <v>2</v>
      </c>
      <c r="R402" s="6" t="s">
        <v>17</v>
      </c>
      <c r="S402" s="6" t="s">
        <v>17</v>
      </c>
      <c r="T402" s="6" t="s">
        <v>17</v>
      </c>
      <c r="U402" s="6" t="s">
        <v>17</v>
      </c>
      <c r="V402" s="6" t="s">
        <v>17</v>
      </c>
      <c r="W402" s="6" t="s">
        <v>17</v>
      </c>
      <c r="X402" s="6" t="s">
        <v>17</v>
      </c>
      <c r="Y402" s="6" t="s">
        <v>17</v>
      </c>
      <c r="Z402" s="6" t="s">
        <v>17</v>
      </c>
      <c r="AA402" s="6" t="s">
        <v>17</v>
      </c>
      <c r="AB402" s="6" t="s">
        <v>17</v>
      </c>
      <c r="AC402" s="6" t="s">
        <v>17</v>
      </c>
      <c r="AD402" s="6" t="s">
        <v>17</v>
      </c>
      <c r="AE402" s="6" t="s">
        <v>17</v>
      </c>
      <c r="AF402" s="6" t="s">
        <v>17</v>
      </c>
      <c r="AG402" s="6" t="s">
        <v>17</v>
      </c>
      <c r="AH402" s="6" t="s">
        <v>17</v>
      </c>
      <c r="AI402" s="6" t="s">
        <v>17</v>
      </c>
      <c r="AJ402" s="6" t="s">
        <v>17</v>
      </c>
      <c r="AK402" s="6" t="s">
        <v>17</v>
      </c>
      <c r="AL402" s="6" t="s">
        <v>17</v>
      </c>
      <c r="AM402" s="6" t="s">
        <v>17</v>
      </c>
      <c r="AN402" s="6" t="s">
        <v>17</v>
      </c>
      <c r="AO402" s="6" t="s">
        <v>17</v>
      </c>
      <c r="AP402" s="6" t="s">
        <v>17</v>
      </c>
      <c r="AQ402" s="6" t="s">
        <v>17</v>
      </c>
      <c r="AR402" s="6" t="s">
        <v>17</v>
      </c>
    </row>
    <row r="403" spans="1:44" x14ac:dyDescent="0.3">
      <c r="A403" s="3" t="s">
        <v>696</v>
      </c>
      <c r="B403" s="11">
        <v>4</v>
      </c>
      <c r="C403" s="13" t="s">
        <v>2678</v>
      </c>
      <c r="D403" s="6" t="s">
        <v>2867</v>
      </c>
      <c r="E403" s="6" t="s">
        <v>2</v>
      </c>
      <c r="F403" s="6" t="s">
        <v>2620</v>
      </c>
      <c r="G403" s="6">
        <v>1</v>
      </c>
      <c r="H403" s="116">
        <v>0</v>
      </c>
      <c r="I403" s="116">
        <v>0</v>
      </c>
      <c r="J403" s="116">
        <v>0</v>
      </c>
      <c r="K403" s="6" t="s">
        <v>2</v>
      </c>
      <c r="L403" s="6" t="s">
        <v>2</v>
      </c>
      <c r="M403" s="6" t="s">
        <v>2</v>
      </c>
      <c r="N403" s="6" t="s">
        <v>17</v>
      </c>
      <c r="O403" s="6" t="s">
        <v>17</v>
      </c>
      <c r="P403" s="6" t="s">
        <v>17</v>
      </c>
      <c r="Q403" s="6" t="s">
        <v>2</v>
      </c>
      <c r="R403" s="6" t="s">
        <v>17</v>
      </c>
      <c r="S403" s="6" t="s">
        <v>17</v>
      </c>
      <c r="T403" s="6" t="s">
        <v>17</v>
      </c>
      <c r="U403" s="6" t="s">
        <v>17</v>
      </c>
      <c r="V403" s="6" t="s">
        <v>17</v>
      </c>
      <c r="W403" s="6" t="s">
        <v>17</v>
      </c>
      <c r="X403" s="6" t="s">
        <v>17</v>
      </c>
      <c r="Y403" s="6" t="s">
        <v>17</v>
      </c>
      <c r="Z403" s="6" t="s">
        <v>17</v>
      </c>
      <c r="AA403" s="6" t="s">
        <v>17</v>
      </c>
      <c r="AB403" s="6" t="s">
        <v>17</v>
      </c>
      <c r="AC403" s="6" t="s">
        <v>17</v>
      </c>
      <c r="AD403" s="6" t="s">
        <v>17</v>
      </c>
      <c r="AE403" s="6" t="s">
        <v>17</v>
      </c>
      <c r="AF403" s="6" t="s">
        <v>17</v>
      </c>
      <c r="AG403" s="6" t="s">
        <v>17</v>
      </c>
      <c r="AH403" s="6" t="s">
        <v>17</v>
      </c>
      <c r="AI403" s="6" t="s">
        <v>17</v>
      </c>
      <c r="AJ403" s="6" t="s">
        <v>17</v>
      </c>
      <c r="AK403" s="6" t="s">
        <v>17</v>
      </c>
      <c r="AL403" s="6" t="s">
        <v>17</v>
      </c>
      <c r="AM403" s="6" t="s">
        <v>17</v>
      </c>
      <c r="AN403" s="6" t="s">
        <v>17</v>
      </c>
      <c r="AO403" s="6" t="s">
        <v>17</v>
      </c>
      <c r="AP403" s="6" t="s">
        <v>17</v>
      </c>
      <c r="AQ403" s="6" t="s">
        <v>17</v>
      </c>
      <c r="AR403" s="6" t="s">
        <v>17</v>
      </c>
    </row>
    <row r="404" spans="1:44" x14ac:dyDescent="0.3">
      <c r="B404" s="11">
        <v>5</v>
      </c>
      <c r="C404" s="13" t="s">
        <v>2679</v>
      </c>
      <c r="D404" s="6" t="s">
        <v>2866</v>
      </c>
      <c r="E404" s="6" t="s">
        <v>2</v>
      </c>
      <c r="F404" s="6" t="s">
        <v>2620</v>
      </c>
      <c r="G404" s="6">
        <v>1</v>
      </c>
      <c r="H404" s="116">
        <v>0</v>
      </c>
      <c r="I404" s="116">
        <v>0</v>
      </c>
      <c r="J404" s="116">
        <v>0</v>
      </c>
      <c r="K404" s="6" t="s">
        <v>2</v>
      </c>
      <c r="L404" s="6" t="s">
        <v>2</v>
      </c>
      <c r="M404" s="6" t="s">
        <v>2</v>
      </c>
      <c r="N404" s="6" t="s">
        <v>17</v>
      </c>
      <c r="O404" s="6" t="s">
        <v>17</v>
      </c>
      <c r="P404" s="6" t="s">
        <v>17</v>
      </c>
      <c r="Q404" s="6" t="s">
        <v>2</v>
      </c>
      <c r="R404" s="6" t="s">
        <v>17</v>
      </c>
      <c r="S404" s="6" t="s">
        <v>17</v>
      </c>
      <c r="T404" s="6" t="s">
        <v>17</v>
      </c>
      <c r="U404" s="6" t="s">
        <v>17</v>
      </c>
      <c r="V404" s="6" t="s">
        <v>17</v>
      </c>
      <c r="W404" s="6" t="s">
        <v>17</v>
      </c>
      <c r="X404" s="6" t="s">
        <v>17</v>
      </c>
      <c r="Y404" s="6" t="s">
        <v>17</v>
      </c>
      <c r="Z404" s="6" t="s">
        <v>17</v>
      </c>
      <c r="AA404" s="6" t="s">
        <v>17</v>
      </c>
      <c r="AB404" s="6" t="s">
        <v>17</v>
      </c>
      <c r="AC404" s="6" t="s">
        <v>17</v>
      </c>
      <c r="AD404" s="6" t="s">
        <v>17</v>
      </c>
      <c r="AE404" s="6" t="s">
        <v>17</v>
      </c>
      <c r="AF404" s="6" t="s">
        <v>17</v>
      </c>
      <c r="AG404" s="6" t="s">
        <v>17</v>
      </c>
      <c r="AH404" s="6" t="s">
        <v>17</v>
      </c>
      <c r="AI404" s="6" t="s">
        <v>17</v>
      </c>
      <c r="AJ404" s="6" t="s">
        <v>17</v>
      </c>
      <c r="AK404" s="6" t="s">
        <v>17</v>
      </c>
      <c r="AL404" s="6" t="s">
        <v>17</v>
      </c>
      <c r="AM404" s="6" t="s">
        <v>17</v>
      </c>
      <c r="AN404" s="6" t="s">
        <v>17</v>
      </c>
      <c r="AO404" s="6" t="s">
        <v>17</v>
      </c>
      <c r="AP404" s="6" t="s">
        <v>17</v>
      </c>
      <c r="AQ404" s="6" t="s">
        <v>17</v>
      </c>
      <c r="AR404" s="6" t="s">
        <v>17</v>
      </c>
    </row>
    <row r="405" spans="1:44" x14ac:dyDescent="0.3">
      <c r="B405" s="11">
        <v>6</v>
      </c>
      <c r="C405" s="13" t="s">
        <v>2680</v>
      </c>
      <c r="D405" s="6" t="s">
        <v>2865</v>
      </c>
      <c r="E405" s="6" t="s">
        <v>2</v>
      </c>
      <c r="F405" s="6" t="s">
        <v>2620</v>
      </c>
      <c r="G405" s="6">
        <v>1</v>
      </c>
      <c r="H405" s="116">
        <v>0</v>
      </c>
      <c r="I405" s="116">
        <v>0</v>
      </c>
      <c r="J405" s="116">
        <v>0</v>
      </c>
      <c r="K405" s="6" t="s">
        <v>2</v>
      </c>
      <c r="L405" s="6" t="s">
        <v>2</v>
      </c>
      <c r="M405" s="6" t="s">
        <v>2</v>
      </c>
      <c r="N405" s="6" t="s">
        <v>17</v>
      </c>
      <c r="O405" s="6" t="s">
        <v>17</v>
      </c>
      <c r="P405" s="6" t="s">
        <v>17</v>
      </c>
      <c r="Q405" s="6" t="s">
        <v>2</v>
      </c>
      <c r="R405" s="6" t="s">
        <v>17</v>
      </c>
      <c r="S405" s="6" t="s">
        <v>17</v>
      </c>
      <c r="T405" s="6" t="s">
        <v>17</v>
      </c>
      <c r="U405" s="6" t="s">
        <v>17</v>
      </c>
      <c r="V405" s="6" t="s">
        <v>17</v>
      </c>
      <c r="W405" s="6" t="s">
        <v>17</v>
      </c>
      <c r="X405" s="6" t="s">
        <v>17</v>
      </c>
      <c r="Y405" s="6" t="s">
        <v>17</v>
      </c>
      <c r="Z405" s="6" t="s">
        <v>17</v>
      </c>
      <c r="AA405" s="6" t="s">
        <v>17</v>
      </c>
      <c r="AB405" s="6" t="s">
        <v>17</v>
      </c>
      <c r="AC405" s="6" t="s">
        <v>17</v>
      </c>
      <c r="AD405" s="6" t="s">
        <v>17</v>
      </c>
      <c r="AE405" s="6" t="s">
        <v>17</v>
      </c>
      <c r="AF405" s="6" t="s">
        <v>17</v>
      </c>
      <c r="AG405" s="6" t="s">
        <v>17</v>
      </c>
      <c r="AH405" s="6" t="s">
        <v>17</v>
      </c>
      <c r="AI405" s="6" t="s">
        <v>17</v>
      </c>
      <c r="AJ405" s="6" t="s">
        <v>17</v>
      </c>
      <c r="AK405" s="6" t="s">
        <v>17</v>
      </c>
      <c r="AL405" s="6" t="s">
        <v>17</v>
      </c>
      <c r="AM405" s="6" t="s">
        <v>17</v>
      </c>
      <c r="AN405" s="6" t="s">
        <v>17</v>
      </c>
      <c r="AO405" s="6" t="s">
        <v>17</v>
      </c>
      <c r="AP405" s="6" t="s">
        <v>17</v>
      </c>
      <c r="AQ405" s="6" t="s">
        <v>17</v>
      </c>
      <c r="AR405" s="6" t="s">
        <v>17</v>
      </c>
    </row>
    <row r="406" spans="1:44" x14ac:dyDescent="0.3">
      <c r="A406" s="37" t="s">
        <v>1269</v>
      </c>
      <c r="B406" s="11">
        <v>7</v>
      </c>
      <c r="C406" s="13" t="s">
        <v>2681</v>
      </c>
      <c r="D406" s="6" t="s">
        <v>2864</v>
      </c>
      <c r="E406" s="6" t="s">
        <v>2</v>
      </c>
      <c r="F406" s="6" t="s">
        <v>2620</v>
      </c>
      <c r="G406" s="6">
        <v>1</v>
      </c>
      <c r="H406" s="116">
        <v>0</v>
      </c>
      <c r="I406" s="116">
        <v>0</v>
      </c>
      <c r="J406" s="116">
        <v>0</v>
      </c>
      <c r="K406" s="6" t="s">
        <v>2</v>
      </c>
      <c r="L406" s="6" t="s">
        <v>2</v>
      </c>
      <c r="M406" s="6" t="s">
        <v>2</v>
      </c>
      <c r="N406" s="6" t="s">
        <v>17</v>
      </c>
      <c r="O406" s="6" t="s">
        <v>17</v>
      </c>
      <c r="P406" s="6" t="s">
        <v>17</v>
      </c>
      <c r="Q406" s="6" t="s">
        <v>2</v>
      </c>
      <c r="R406" s="6" t="s">
        <v>17</v>
      </c>
      <c r="S406" s="6" t="s">
        <v>17</v>
      </c>
      <c r="T406" s="6" t="s">
        <v>17</v>
      </c>
      <c r="U406" s="6" t="s">
        <v>17</v>
      </c>
      <c r="V406" s="6" t="s">
        <v>17</v>
      </c>
      <c r="W406" s="6" t="s">
        <v>17</v>
      </c>
      <c r="X406" s="6" t="s">
        <v>17</v>
      </c>
      <c r="Y406" s="6" t="s">
        <v>17</v>
      </c>
      <c r="Z406" s="6" t="s">
        <v>17</v>
      </c>
      <c r="AA406" s="6" t="s">
        <v>17</v>
      </c>
      <c r="AB406" s="6" t="s">
        <v>17</v>
      </c>
      <c r="AC406" s="6" t="s">
        <v>17</v>
      </c>
      <c r="AD406" s="6" t="s">
        <v>17</v>
      </c>
      <c r="AE406" s="6" t="s">
        <v>17</v>
      </c>
      <c r="AF406" s="6" t="s">
        <v>17</v>
      </c>
      <c r="AG406" s="6" t="s">
        <v>17</v>
      </c>
      <c r="AH406" s="6" t="s">
        <v>17</v>
      </c>
      <c r="AI406" s="6" t="s">
        <v>17</v>
      </c>
      <c r="AJ406" s="6" t="s">
        <v>17</v>
      </c>
      <c r="AK406" s="6" t="s">
        <v>17</v>
      </c>
      <c r="AL406" s="6" t="s">
        <v>17</v>
      </c>
      <c r="AM406" s="6" t="s">
        <v>17</v>
      </c>
      <c r="AN406" s="6" t="s">
        <v>17</v>
      </c>
      <c r="AO406" s="6" t="s">
        <v>17</v>
      </c>
      <c r="AP406" s="6" t="s">
        <v>17</v>
      </c>
      <c r="AQ406" s="6" t="s">
        <v>17</v>
      </c>
      <c r="AR406" s="6" t="s">
        <v>17</v>
      </c>
    </row>
    <row r="407" spans="1:44" x14ac:dyDescent="0.3">
      <c r="A407" s="25" t="s">
        <v>1270</v>
      </c>
      <c r="B407" s="11">
        <v>8</v>
      </c>
      <c r="C407" s="13" t="s">
        <v>2682</v>
      </c>
      <c r="D407" s="6" t="s">
        <v>2863</v>
      </c>
      <c r="E407" s="6" t="s">
        <v>2</v>
      </c>
      <c r="F407" s="6" t="s">
        <v>2620</v>
      </c>
      <c r="G407" s="6">
        <v>1</v>
      </c>
      <c r="H407" s="116">
        <v>0</v>
      </c>
      <c r="I407" s="116">
        <v>0</v>
      </c>
      <c r="J407" s="116">
        <v>0</v>
      </c>
      <c r="K407" s="6" t="s">
        <v>2</v>
      </c>
      <c r="L407" s="6" t="s">
        <v>2</v>
      </c>
      <c r="M407" s="6" t="s">
        <v>2</v>
      </c>
      <c r="N407" s="6" t="s">
        <v>17</v>
      </c>
      <c r="O407" s="6" t="s">
        <v>17</v>
      </c>
      <c r="P407" s="6" t="s">
        <v>17</v>
      </c>
      <c r="Q407" s="6" t="s">
        <v>2</v>
      </c>
      <c r="R407" s="6" t="s">
        <v>17</v>
      </c>
      <c r="S407" s="6" t="s">
        <v>17</v>
      </c>
      <c r="T407" s="6" t="s">
        <v>17</v>
      </c>
      <c r="U407" s="6" t="s">
        <v>17</v>
      </c>
      <c r="V407" s="6" t="s">
        <v>17</v>
      </c>
      <c r="W407" s="6" t="s">
        <v>17</v>
      </c>
      <c r="X407" s="6" t="s">
        <v>17</v>
      </c>
      <c r="Y407" s="6" t="s">
        <v>17</v>
      </c>
      <c r="Z407" s="6" t="s">
        <v>17</v>
      </c>
      <c r="AA407" s="6" t="s">
        <v>17</v>
      </c>
      <c r="AB407" s="6" t="s">
        <v>17</v>
      </c>
      <c r="AC407" s="6" t="s">
        <v>17</v>
      </c>
      <c r="AD407" s="6" t="s">
        <v>17</v>
      </c>
      <c r="AE407" s="6" t="s">
        <v>17</v>
      </c>
      <c r="AF407" s="6" t="s">
        <v>17</v>
      </c>
      <c r="AG407" s="6" t="s">
        <v>17</v>
      </c>
      <c r="AH407" s="6" t="s">
        <v>17</v>
      </c>
      <c r="AI407" s="6" t="s">
        <v>17</v>
      </c>
      <c r="AJ407" s="6" t="s">
        <v>17</v>
      </c>
      <c r="AK407" s="6" t="s">
        <v>17</v>
      </c>
      <c r="AL407" s="6" t="s">
        <v>17</v>
      </c>
      <c r="AM407" s="6" t="s">
        <v>17</v>
      </c>
      <c r="AN407" s="6" t="s">
        <v>17</v>
      </c>
      <c r="AO407" s="6" t="s">
        <v>17</v>
      </c>
      <c r="AP407" s="6" t="s">
        <v>17</v>
      </c>
      <c r="AQ407" s="6" t="s">
        <v>17</v>
      </c>
      <c r="AR407" s="6" t="s">
        <v>17</v>
      </c>
    </row>
    <row r="408" spans="1:44" x14ac:dyDescent="0.3">
      <c r="A408" s="25" t="s">
        <v>1675</v>
      </c>
      <c r="B408" s="11">
        <v>9</v>
      </c>
      <c r="C408" s="13" t="s">
        <v>2683</v>
      </c>
      <c r="D408" s="6" t="s">
        <v>2862</v>
      </c>
      <c r="E408" s="6" t="s">
        <v>2</v>
      </c>
      <c r="F408" s="6" t="s">
        <v>2620</v>
      </c>
      <c r="G408" s="6">
        <v>1</v>
      </c>
      <c r="H408" s="116">
        <v>0</v>
      </c>
      <c r="I408" s="116">
        <v>0</v>
      </c>
      <c r="J408" s="116">
        <v>0</v>
      </c>
      <c r="K408" s="6" t="s">
        <v>2</v>
      </c>
      <c r="L408" s="6" t="s">
        <v>2</v>
      </c>
      <c r="M408" s="6" t="s">
        <v>2</v>
      </c>
      <c r="N408" s="6" t="s">
        <v>17</v>
      </c>
      <c r="O408" s="6" t="s">
        <v>17</v>
      </c>
      <c r="P408" s="6" t="s">
        <v>17</v>
      </c>
      <c r="Q408" s="6" t="s">
        <v>2</v>
      </c>
      <c r="R408" s="6" t="s">
        <v>17</v>
      </c>
      <c r="S408" s="6" t="s">
        <v>17</v>
      </c>
      <c r="T408" s="6" t="s">
        <v>17</v>
      </c>
      <c r="U408" s="6" t="s">
        <v>17</v>
      </c>
      <c r="V408" s="6" t="s">
        <v>17</v>
      </c>
      <c r="W408" s="6" t="s">
        <v>17</v>
      </c>
      <c r="X408" s="6" t="s">
        <v>17</v>
      </c>
      <c r="Y408" s="6" t="s">
        <v>17</v>
      </c>
      <c r="Z408" s="6" t="s">
        <v>17</v>
      </c>
      <c r="AA408" s="6" t="s">
        <v>17</v>
      </c>
      <c r="AB408" s="6" t="s">
        <v>17</v>
      </c>
      <c r="AC408" s="6" t="s">
        <v>17</v>
      </c>
      <c r="AD408" s="6" t="s">
        <v>17</v>
      </c>
      <c r="AE408" s="6" t="s">
        <v>17</v>
      </c>
      <c r="AF408" s="6" t="s">
        <v>17</v>
      </c>
      <c r="AG408" s="6" t="s">
        <v>17</v>
      </c>
      <c r="AH408" s="6" t="s">
        <v>17</v>
      </c>
      <c r="AI408" s="6" t="s">
        <v>17</v>
      </c>
      <c r="AJ408" s="6" t="s">
        <v>17</v>
      </c>
      <c r="AK408" s="6" t="s">
        <v>17</v>
      </c>
      <c r="AL408" s="6" t="s">
        <v>17</v>
      </c>
      <c r="AM408" s="6" t="s">
        <v>17</v>
      </c>
      <c r="AN408" s="6" t="s">
        <v>17</v>
      </c>
      <c r="AO408" s="6" t="s">
        <v>17</v>
      </c>
      <c r="AP408" s="6" t="s">
        <v>17</v>
      </c>
      <c r="AQ408" s="6" t="s">
        <v>17</v>
      </c>
      <c r="AR408" s="6" t="s">
        <v>17</v>
      </c>
    </row>
    <row r="409" spans="1:44" x14ac:dyDescent="0.3">
      <c r="A409" s="25" t="s">
        <v>1674</v>
      </c>
      <c r="B409" s="11">
        <v>10</v>
      </c>
      <c r="C409" s="13" t="s">
        <v>2684</v>
      </c>
      <c r="D409" s="6" t="s">
        <v>2861</v>
      </c>
      <c r="E409" s="6" t="s">
        <v>2</v>
      </c>
      <c r="F409" s="6" t="s">
        <v>2620</v>
      </c>
      <c r="G409" s="6">
        <v>1</v>
      </c>
      <c r="H409" s="116">
        <v>8</v>
      </c>
      <c r="I409" s="116">
        <v>8</v>
      </c>
      <c r="J409" s="116">
        <v>8</v>
      </c>
      <c r="K409" s="6" t="s">
        <v>2</v>
      </c>
      <c r="L409" s="6" t="s">
        <v>2</v>
      </c>
      <c r="M409" s="6" t="s">
        <v>2</v>
      </c>
      <c r="N409" s="6" t="s">
        <v>17</v>
      </c>
      <c r="O409" s="6" t="s">
        <v>17</v>
      </c>
      <c r="P409" s="6" t="s">
        <v>17</v>
      </c>
      <c r="Q409" s="6" t="s">
        <v>2</v>
      </c>
      <c r="R409" s="6" t="s">
        <v>17</v>
      </c>
      <c r="S409" s="6" t="s">
        <v>17</v>
      </c>
      <c r="T409" s="6" t="s">
        <v>17</v>
      </c>
      <c r="U409" s="6" t="s">
        <v>17</v>
      </c>
      <c r="V409" s="6" t="s">
        <v>17</v>
      </c>
      <c r="W409" s="6" t="s">
        <v>17</v>
      </c>
      <c r="X409" s="6" t="s">
        <v>17</v>
      </c>
      <c r="Y409" s="6" t="s">
        <v>17</v>
      </c>
      <c r="Z409" s="6" t="s">
        <v>17</v>
      </c>
      <c r="AA409" s="6" t="s">
        <v>17</v>
      </c>
      <c r="AB409" s="6" t="s">
        <v>17</v>
      </c>
      <c r="AC409" s="6" t="s">
        <v>17</v>
      </c>
      <c r="AD409" s="6" t="s">
        <v>17</v>
      </c>
      <c r="AE409" s="6" t="s">
        <v>17</v>
      </c>
      <c r="AF409" s="6" t="s">
        <v>17</v>
      </c>
      <c r="AG409" s="6" t="s">
        <v>17</v>
      </c>
      <c r="AH409" s="6" t="s">
        <v>17</v>
      </c>
      <c r="AI409" s="6" t="s">
        <v>17</v>
      </c>
      <c r="AJ409" s="6" t="s">
        <v>17</v>
      </c>
      <c r="AK409" s="6" t="s">
        <v>17</v>
      </c>
      <c r="AL409" s="6" t="s">
        <v>17</v>
      </c>
      <c r="AM409" s="6" t="s">
        <v>17</v>
      </c>
      <c r="AN409" s="6" t="s">
        <v>17</v>
      </c>
      <c r="AO409" s="6" t="s">
        <v>17</v>
      </c>
      <c r="AP409" s="6" t="s">
        <v>17</v>
      </c>
      <c r="AQ409" s="6" t="s">
        <v>17</v>
      </c>
      <c r="AR409" s="6" t="s">
        <v>17</v>
      </c>
    </row>
    <row r="410" spans="1:44" x14ac:dyDescent="0.3">
      <c r="A410" s="25" t="s">
        <v>1676</v>
      </c>
      <c r="B410" s="11">
        <v>11</v>
      </c>
      <c r="C410" s="13" t="s">
        <v>2685</v>
      </c>
      <c r="D410" s="6" t="s">
        <v>2860</v>
      </c>
      <c r="E410" s="6" t="s">
        <v>2</v>
      </c>
      <c r="F410" s="6" t="s">
        <v>2620</v>
      </c>
      <c r="G410" s="6">
        <v>1</v>
      </c>
      <c r="H410" s="116">
        <v>0</v>
      </c>
      <c r="I410" s="116">
        <v>0</v>
      </c>
      <c r="J410" s="116">
        <v>0</v>
      </c>
      <c r="K410" s="6" t="s">
        <v>2</v>
      </c>
      <c r="L410" s="6" t="s">
        <v>2</v>
      </c>
      <c r="M410" s="6" t="s">
        <v>2</v>
      </c>
      <c r="N410" s="6" t="s">
        <v>17</v>
      </c>
      <c r="O410" s="6" t="s">
        <v>17</v>
      </c>
      <c r="P410" s="6" t="s">
        <v>17</v>
      </c>
      <c r="Q410" s="6" t="s">
        <v>2</v>
      </c>
      <c r="R410" s="6" t="s">
        <v>17</v>
      </c>
      <c r="S410" s="6" t="s">
        <v>17</v>
      </c>
      <c r="T410" s="6" t="s">
        <v>17</v>
      </c>
      <c r="U410" s="6" t="s">
        <v>17</v>
      </c>
      <c r="V410" s="6" t="s">
        <v>17</v>
      </c>
      <c r="W410" s="6" t="s">
        <v>17</v>
      </c>
      <c r="X410" s="6" t="s">
        <v>17</v>
      </c>
      <c r="Y410" s="6" t="s">
        <v>17</v>
      </c>
      <c r="Z410" s="6" t="s">
        <v>17</v>
      </c>
      <c r="AA410" s="6" t="s">
        <v>17</v>
      </c>
      <c r="AB410" s="6" t="s">
        <v>17</v>
      </c>
      <c r="AC410" s="6" t="s">
        <v>17</v>
      </c>
      <c r="AD410" s="6" t="s">
        <v>17</v>
      </c>
      <c r="AE410" s="6" t="s">
        <v>17</v>
      </c>
      <c r="AF410" s="6" t="s">
        <v>17</v>
      </c>
      <c r="AG410" s="6" t="s">
        <v>17</v>
      </c>
      <c r="AH410" s="6" t="s">
        <v>17</v>
      </c>
      <c r="AI410" s="6" t="s">
        <v>17</v>
      </c>
      <c r="AJ410" s="6" t="s">
        <v>17</v>
      </c>
      <c r="AK410" s="6" t="s">
        <v>17</v>
      </c>
      <c r="AL410" s="6" t="s">
        <v>17</v>
      </c>
      <c r="AM410" s="6" t="s">
        <v>17</v>
      </c>
      <c r="AN410" s="6" t="s">
        <v>17</v>
      </c>
      <c r="AO410" s="6" t="s">
        <v>17</v>
      </c>
      <c r="AP410" s="6" t="s">
        <v>17</v>
      </c>
      <c r="AQ410" s="6" t="s">
        <v>17</v>
      </c>
      <c r="AR410" s="6" t="s">
        <v>17</v>
      </c>
    </row>
    <row r="411" spans="1:44" x14ac:dyDescent="0.3">
      <c r="A411" s="25" t="s">
        <v>1677</v>
      </c>
      <c r="B411" s="11">
        <v>12</v>
      </c>
      <c r="C411" s="13" t="s">
        <v>2686</v>
      </c>
      <c r="D411" s="6" t="s">
        <v>2859</v>
      </c>
      <c r="E411" s="6" t="s">
        <v>2</v>
      </c>
      <c r="F411" s="6" t="s">
        <v>2620</v>
      </c>
      <c r="G411" s="6">
        <v>1</v>
      </c>
      <c r="H411" s="116">
        <v>0</v>
      </c>
      <c r="I411" s="116">
        <v>0</v>
      </c>
      <c r="J411" s="116">
        <v>0</v>
      </c>
      <c r="K411" s="6" t="s">
        <v>2</v>
      </c>
      <c r="L411" s="6" t="s">
        <v>2</v>
      </c>
      <c r="M411" s="6" t="s">
        <v>2</v>
      </c>
      <c r="N411" s="6" t="s">
        <v>17</v>
      </c>
      <c r="O411" s="6" t="s">
        <v>17</v>
      </c>
      <c r="P411" s="6" t="s">
        <v>17</v>
      </c>
      <c r="Q411" s="6" t="s">
        <v>2</v>
      </c>
      <c r="R411" s="6" t="s">
        <v>17</v>
      </c>
      <c r="S411" s="6" t="s">
        <v>17</v>
      </c>
      <c r="T411" s="6" t="s">
        <v>17</v>
      </c>
      <c r="U411" s="6" t="s">
        <v>17</v>
      </c>
      <c r="V411" s="6" t="s">
        <v>17</v>
      </c>
      <c r="W411" s="6" t="s">
        <v>17</v>
      </c>
      <c r="X411" s="6" t="s">
        <v>17</v>
      </c>
      <c r="Y411" s="6" t="s">
        <v>17</v>
      </c>
      <c r="Z411" s="6" t="s">
        <v>17</v>
      </c>
      <c r="AA411" s="6" t="s">
        <v>17</v>
      </c>
      <c r="AB411" s="6" t="s">
        <v>17</v>
      </c>
      <c r="AC411" s="6" t="s">
        <v>17</v>
      </c>
      <c r="AD411" s="6" t="s">
        <v>17</v>
      </c>
      <c r="AE411" s="6" t="s">
        <v>17</v>
      </c>
      <c r="AF411" s="6" t="s">
        <v>17</v>
      </c>
      <c r="AG411" s="6" t="s">
        <v>17</v>
      </c>
      <c r="AH411" s="6" t="s">
        <v>17</v>
      </c>
      <c r="AI411" s="6" t="s">
        <v>17</v>
      </c>
      <c r="AJ411" s="6" t="s">
        <v>17</v>
      </c>
      <c r="AK411" s="6" t="s">
        <v>17</v>
      </c>
      <c r="AL411" s="6" t="s">
        <v>17</v>
      </c>
      <c r="AM411" s="6" t="s">
        <v>17</v>
      </c>
      <c r="AN411" s="6" t="s">
        <v>17</v>
      </c>
      <c r="AO411" s="6" t="s">
        <v>17</v>
      </c>
      <c r="AP411" s="6" t="s">
        <v>17</v>
      </c>
      <c r="AQ411" s="6" t="s">
        <v>17</v>
      </c>
      <c r="AR411" s="6" t="s">
        <v>17</v>
      </c>
    </row>
    <row r="412" spans="1:44" x14ac:dyDescent="0.3">
      <c r="A412" s="25" t="s">
        <v>1678</v>
      </c>
      <c r="B412" s="11">
        <v>13</v>
      </c>
      <c r="C412" s="13" t="s">
        <v>2687</v>
      </c>
      <c r="D412" s="6" t="s">
        <v>2858</v>
      </c>
      <c r="E412" s="6" t="s">
        <v>2</v>
      </c>
      <c r="F412" s="6" t="s">
        <v>2620</v>
      </c>
      <c r="G412" s="6">
        <v>1</v>
      </c>
      <c r="H412" s="116">
        <v>0</v>
      </c>
      <c r="I412" s="116">
        <v>0</v>
      </c>
      <c r="J412" s="116">
        <v>0</v>
      </c>
      <c r="K412" s="6" t="s">
        <v>2</v>
      </c>
      <c r="L412" s="6" t="s">
        <v>2</v>
      </c>
      <c r="M412" s="6" t="s">
        <v>2</v>
      </c>
      <c r="N412" s="6" t="s">
        <v>17</v>
      </c>
      <c r="O412" s="6" t="s">
        <v>17</v>
      </c>
      <c r="P412" s="6" t="s">
        <v>17</v>
      </c>
      <c r="Q412" s="6" t="s">
        <v>2</v>
      </c>
      <c r="R412" s="6" t="s">
        <v>17</v>
      </c>
      <c r="S412" s="6" t="s">
        <v>17</v>
      </c>
      <c r="T412" s="6" t="s">
        <v>17</v>
      </c>
      <c r="U412" s="6" t="s">
        <v>17</v>
      </c>
      <c r="V412" s="6" t="s">
        <v>17</v>
      </c>
      <c r="W412" s="6" t="s">
        <v>17</v>
      </c>
      <c r="X412" s="6" t="s">
        <v>17</v>
      </c>
      <c r="Y412" s="6" t="s">
        <v>17</v>
      </c>
      <c r="Z412" s="6" t="s">
        <v>17</v>
      </c>
      <c r="AA412" s="6" t="s">
        <v>17</v>
      </c>
      <c r="AB412" s="6" t="s">
        <v>17</v>
      </c>
      <c r="AC412" s="6" t="s">
        <v>17</v>
      </c>
      <c r="AD412" s="6" t="s">
        <v>17</v>
      </c>
      <c r="AE412" s="6" t="s">
        <v>17</v>
      </c>
      <c r="AF412" s="6" t="s">
        <v>17</v>
      </c>
      <c r="AG412" s="6" t="s">
        <v>17</v>
      </c>
      <c r="AH412" s="6" t="s">
        <v>17</v>
      </c>
      <c r="AI412" s="6" t="s">
        <v>17</v>
      </c>
      <c r="AJ412" s="6" t="s">
        <v>17</v>
      </c>
      <c r="AK412" s="6" t="s">
        <v>17</v>
      </c>
      <c r="AL412" s="6" t="s">
        <v>17</v>
      </c>
      <c r="AM412" s="6" t="s">
        <v>17</v>
      </c>
      <c r="AN412" s="6" t="s">
        <v>17</v>
      </c>
      <c r="AO412" s="6" t="s">
        <v>17</v>
      </c>
      <c r="AP412" s="6" t="s">
        <v>17</v>
      </c>
      <c r="AQ412" s="6" t="s">
        <v>17</v>
      </c>
      <c r="AR412" s="6" t="s">
        <v>17</v>
      </c>
    </row>
    <row r="413" spans="1:44" x14ac:dyDescent="0.3">
      <c r="A413" s="25" t="s">
        <v>1679</v>
      </c>
      <c r="B413" s="11">
        <v>14</v>
      </c>
      <c r="C413" s="13" t="s">
        <v>2688</v>
      </c>
      <c r="D413" s="6" t="s">
        <v>2857</v>
      </c>
      <c r="E413" s="6" t="s">
        <v>2</v>
      </c>
      <c r="F413" s="6" t="s">
        <v>2620</v>
      </c>
      <c r="G413" s="6">
        <v>1</v>
      </c>
      <c r="H413" s="116">
        <v>0</v>
      </c>
      <c r="I413" s="116">
        <v>0</v>
      </c>
      <c r="J413" s="116">
        <v>0</v>
      </c>
      <c r="K413" s="6" t="s">
        <v>2</v>
      </c>
      <c r="L413" s="6" t="s">
        <v>2</v>
      </c>
      <c r="M413" s="6" t="s">
        <v>2</v>
      </c>
      <c r="N413" s="6" t="s">
        <v>17</v>
      </c>
      <c r="O413" s="6" t="s">
        <v>17</v>
      </c>
      <c r="P413" s="6" t="s">
        <v>17</v>
      </c>
      <c r="Q413" s="6" t="s">
        <v>2</v>
      </c>
      <c r="R413" s="6" t="s">
        <v>17</v>
      </c>
      <c r="S413" s="6" t="s">
        <v>17</v>
      </c>
      <c r="T413" s="6" t="s">
        <v>17</v>
      </c>
      <c r="U413" s="6" t="s">
        <v>17</v>
      </c>
      <c r="V413" s="6" t="s">
        <v>17</v>
      </c>
      <c r="W413" s="6" t="s">
        <v>17</v>
      </c>
      <c r="X413" s="6" t="s">
        <v>17</v>
      </c>
      <c r="Y413" s="6" t="s">
        <v>17</v>
      </c>
      <c r="Z413" s="6" t="s">
        <v>17</v>
      </c>
      <c r="AA413" s="6" t="s">
        <v>17</v>
      </c>
      <c r="AB413" s="6" t="s">
        <v>17</v>
      </c>
      <c r="AC413" s="6" t="s">
        <v>17</v>
      </c>
      <c r="AD413" s="6" t="s">
        <v>17</v>
      </c>
      <c r="AE413" s="6" t="s">
        <v>17</v>
      </c>
      <c r="AF413" s="6" t="s">
        <v>17</v>
      </c>
      <c r="AG413" s="6" t="s">
        <v>17</v>
      </c>
      <c r="AH413" s="6" t="s">
        <v>17</v>
      </c>
      <c r="AI413" s="6" t="s">
        <v>17</v>
      </c>
      <c r="AJ413" s="6" t="s">
        <v>17</v>
      </c>
      <c r="AK413" s="6" t="s">
        <v>17</v>
      </c>
      <c r="AL413" s="6" t="s">
        <v>17</v>
      </c>
      <c r="AM413" s="6" t="s">
        <v>17</v>
      </c>
      <c r="AN413" s="6" t="s">
        <v>17</v>
      </c>
      <c r="AO413" s="6" t="s">
        <v>17</v>
      </c>
      <c r="AP413" s="6" t="s">
        <v>17</v>
      </c>
      <c r="AQ413" s="6" t="s">
        <v>17</v>
      </c>
      <c r="AR413" s="6" t="s">
        <v>17</v>
      </c>
    </row>
    <row r="414" spans="1:44" x14ac:dyDescent="0.3">
      <c r="A414" s="25" t="s">
        <v>1680</v>
      </c>
      <c r="B414" s="11">
        <v>15</v>
      </c>
      <c r="C414" s="13" t="s">
        <v>2689</v>
      </c>
      <c r="D414" s="6" t="s">
        <v>2856</v>
      </c>
      <c r="E414" s="6" t="s">
        <v>2</v>
      </c>
      <c r="F414" s="6" t="s">
        <v>2620</v>
      </c>
      <c r="G414" s="6">
        <v>1</v>
      </c>
      <c r="H414" s="116">
        <v>0</v>
      </c>
      <c r="I414" s="116">
        <v>0</v>
      </c>
      <c r="J414" s="116">
        <v>0</v>
      </c>
      <c r="K414" s="6" t="s">
        <v>2</v>
      </c>
      <c r="L414" s="6" t="s">
        <v>2</v>
      </c>
      <c r="M414" s="6" t="s">
        <v>2</v>
      </c>
      <c r="N414" s="6" t="s">
        <v>17</v>
      </c>
      <c r="O414" s="6" t="s">
        <v>17</v>
      </c>
      <c r="P414" s="6" t="s">
        <v>17</v>
      </c>
      <c r="Q414" s="6" t="s">
        <v>2</v>
      </c>
      <c r="R414" s="6" t="s">
        <v>17</v>
      </c>
      <c r="S414" s="6" t="s">
        <v>17</v>
      </c>
      <c r="T414" s="6" t="s">
        <v>17</v>
      </c>
      <c r="U414" s="6" t="s">
        <v>17</v>
      </c>
      <c r="V414" s="6" t="s">
        <v>17</v>
      </c>
      <c r="W414" s="6" t="s">
        <v>17</v>
      </c>
      <c r="X414" s="6" t="s">
        <v>17</v>
      </c>
      <c r="Y414" s="6" t="s">
        <v>17</v>
      </c>
      <c r="Z414" s="6" t="s">
        <v>17</v>
      </c>
      <c r="AA414" s="6" t="s">
        <v>17</v>
      </c>
      <c r="AB414" s="6" t="s">
        <v>17</v>
      </c>
      <c r="AC414" s="6" t="s">
        <v>17</v>
      </c>
      <c r="AD414" s="6" t="s">
        <v>17</v>
      </c>
      <c r="AE414" s="6" t="s">
        <v>17</v>
      </c>
      <c r="AF414" s="6" t="s">
        <v>17</v>
      </c>
      <c r="AG414" s="6" t="s">
        <v>17</v>
      </c>
      <c r="AH414" s="6" t="s">
        <v>17</v>
      </c>
      <c r="AI414" s="6" t="s">
        <v>17</v>
      </c>
      <c r="AJ414" s="6" t="s">
        <v>17</v>
      </c>
      <c r="AK414" s="6" t="s">
        <v>17</v>
      </c>
      <c r="AL414" s="6" t="s">
        <v>17</v>
      </c>
      <c r="AM414" s="6" t="s">
        <v>17</v>
      </c>
      <c r="AN414" s="6" t="s">
        <v>17</v>
      </c>
      <c r="AO414" s="6" t="s">
        <v>17</v>
      </c>
      <c r="AP414" s="6" t="s">
        <v>17</v>
      </c>
      <c r="AQ414" s="6" t="s">
        <v>17</v>
      </c>
      <c r="AR414" s="6" t="s">
        <v>17</v>
      </c>
    </row>
    <row r="415" spans="1:44" x14ac:dyDescent="0.3">
      <c r="A415" s="25" t="s">
        <v>1271</v>
      </c>
      <c r="B415" s="11">
        <v>16</v>
      </c>
      <c r="C415" s="13" t="s">
        <v>2690</v>
      </c>
      <c r="D415" s="6" t="s">
        <v>2855</v>
      </c>
      <c r="E415" s="6" t="s">
        <v>2</v>
      </c>
      <c r="F415" s="6" t="s">
        <v>2620</v>
      </c>
      <c r="G415" s="6">
        <v>1</v>
      </c>
      <c r="H415" s="116">
        <v>0</v>
      </c>
      <c r="I415" s="116">
        <v>0</v>
      </c>
      <c r="J415" s="116">
        <v>0</v>
      </c>
      <c r="K415" s="6" t="s">
        <v>2</v>
      </c>
      <c r="L415" s="6" t="s">
        <v>2</v>
      </c>
      <c r="M415" s="6" t="s">
        <v>2</v>
      </c>
      <c r="N415" s="6" t="s">
        <v>17</v>
      </c>
      <c r="O415" s="6" t="s">
        <v>17</v>
      </c>
      <c r="P415" s="6" t="s">
        <v>17</v>
      </c>
      <c r="Q415" s="6" t="s">
        <v>2</v>
      </c>
      <c r="R415" s="6" t="s">
        <v>17</v>
      </c>
      <c r="S415" s="6" t="s">
        <v>17</v>
      </c>
      <c r="T415" s="6" t="s">
        <v>17</v>
      </c>
      <c r="U415" s="6" t="s">
        <v>17</v>
      </c>
      <c r="V415" s="6" t="s">
        <v>17</v>
      </c>
      <c r="W415" s="6" t="s">
        <v>17</v>
      </c>
      <c r="X415" s="6" t="s">
        <v>17</v>
      </c>
      <c r="Y415" s="6" t="s">
        <v>17</v>
      </c>
      <c r="Z415" s="6" t="s">
        <v>17</v>
      </c>
      <c r="AA415" s="6" t="s">
        <v>17</v>
      </c>
      <c r="AB415" s="6" t="s">
        <v>17</v>
      </c>
      <c r="AC415" s="6" t="s">
        <v>17</v>
      </c>
      <c r="AD415" s="6" t="s">
        <v>17</v>
      </c>
      <c r="AE415" s="6" t="s">
        <v>17</v>
      </c>
      <c r="AF415" s="6" t="s">
        <v>17</v>
      </c>
      <c r="AG415" s="6" t="s">
        <v>17</v>
      </c>
      <c r="AH415" s="6" t="s">
        <v>17</v>
      </c>
      <c r="AI415" s="6" t="s">
        <v>17</v>
      </c>
      <c r="AJ415" s="6" t="s">
        <v>17</v>
      </c>
      <c r="AK415" s="6" t="s">
        <v>17</v>
      </c>
      <c r="AL415" s="6" t="s">
        <v>17</v>
      </c>
      <c r="AM415" s="6" t="s">
        <v>17</v>
      </c>
      <c r="AN415" s="6" t="s">
        <v>17</v>
      </c>
      <c r="AO415" s="6" t="s">
        <v>17</v>
      </c>
      <c r="AP415" s="6" t="s">
        <v>17</v>
      </c>
      <c r="AQ415" s="6" t="s">
        <v>17</v>
      </c>
      <c r="AR415" s="6" t="s">
        <v>17</v>
      </c>
    </row>
    <row r="416" spans="1:44" ht="15.6" x14ac:dyDescent="0.3">
      <c r="A416" s="38" t="str">
        <f>IF((A417+2)&gt;=26,CHAR(65)&amp;CHAR(65+1+A417-26),CHAR(65+1+A417))</f>
        <v>AR</v>
      </c>
      <c r="B416" s="11">
        <v>17</v>
      </c>
      <c r="C416" s="13" t="s">
        <v>2691</v>
      </c>
      <c r="D416" s="6" t="s">
        <v>2854</v>
      </c>
      <c r="E416" s="6" t="s">
        <v>2</v>
      </c>
      <c r="F416" s="6" t="s">
        <v>2620</v>
      </c>
      <c r="G416" s="6">
        <v>1</v>
      </c>
      <c r="H416" s="116">
        <v>0</v>
      </c>
      <c r="I416" s="116">
        <v>0</v>
      </c>
      <c r="J416" s="116">
        <v>0</v>
      </c>
      <c r="K416" s="6" t="s">
        <v>2</v>
      </c>
      <c r="L416" s="6" t="s">
        <v>2</v>
      </c>
      <c r="M416" s="6" t="s">
        <v>2</v>
      </c>
      <c r="N416" s="6" t="s">
        <v>17</v>
      </c>
      <c r="O416" s="6" t="s">
        <v>17</v>
      </c>
      <c r="P416" s="6" t="s">
        <v>17</v>
      </c>
      <c r="Q416" s="6" t="s">
        <v>2</v>
      </c>
      <c r="R416" s="6" t="s">
        <v>17</v>
      </c>
      <c r="S416" s="6" t="s">
        <v>17</v>
      </c>
      <c r="T416" s="6" t="s">
        <v>17</v>
      </c>
      <c r="U416" s="6" t="s">
        <v>17</v>
      </c>
      <c r="V416" s="6" t="s">
        <v>17</v>
      </c>
      <c r="W416" s="6" t="s">
        <v>17</v>
      </c>
      <c r="X416" s="6" t="s">
        <v>17</v>
      </c>
      <c r="Y416" s="6" t="s">
        <v>17</v>
      </c>
      <c r="Z416" s="6" t="s">
        <v>17</v>
      </c>
      <c r="AA416" s="6" t="s">
        <v>17</v>
      </c>
      <c r="AB416" s="6" t="s">
        <v>17</v>
      </c>
      <c r="AC416" s="6" t="s">
        <v>17</v>
      </c>
      <c r="AD416" s="6" t="s">
        <v>17</v>
      </c>
      <c r="AE416" s="6" t="s">
        <v>17</v>
      </c>
      <c r="AF416" s="6" t="s">
        <v>17</v>
      </c>
      <c r="AG416" s="6" t="s">
        <v>17</v>
      </c>
      <c r="AH416" s="6" t="s">
        <v>17</v>
      </c>
      <c r="AI416" s="6" t="s">
        <v>17</v>
      </c>
      <c r="AJ416" s="6" t="s">
        <v>17</v>
      </c>
      <c r="AK416" s="6" t="s">
        <v>17</v>
      </c>
      <c r="AL416" s="6" t="s">
        <v>17</v>
      </c>
      <c r="AM416" s="6" t="s">
        <v>17</v>
      </c>
      <c r="AN416" s="6" t="s">
        <v>17</v>
      </c>
      <c r="AO416" s="6" t="s">
        <v>17</v>
      </c>
      <c r="AP416" s="6" t="s">
        <v>17</v>
      </c>
      <c r="AQ416" s="6" t="s">
        <v>17</v>
      </c>
      <c r="AR416" s="6" t="s">
        <v>17</v>
      </c>
    </row>
    <row r="417" spans="1:44" x14ac:dyDescent="0.3">
      <c r="A417" s="25">
        <f>IF($C$19=0,5+3*$C$16+3*$D$16+1,5+3*$C$16+3*$D$16+$C$19)</f>
        <v>42</v>
      </c>
      <c r="B417" s="11">
        <v>18</v>
      </c>
      <c r="C417" s="13" t="s">
        <v>2692</v>
      </c>
      <c r="D417" s="6" t="s">
        <v>2853</v>
      </c>
      <c r="E417" s="6" t="s">
        <v>2</v>
      </c>
      <c r="F417" s="6" t="s">
        <v>2620</v>
      </c>
      <c r="G417" s="6">
        <v>1</v>
      </c>
      <c r="H417" s="116">
        <v>0</v>
      </c>
      <c r="I417" s="116">
        <v>0</v>
      </c>
      <c r="J417" s="116">
        <v>0</v>
      </c>
      <c r="K417" s="6" t="s">
        <v>2</v>
      </c>
      <c r="L417" s="6" t="s">
        <v>2</v>
      </c>
      <c r="M417" s="6" t="s">
        <v>2</v>
      </c>
      <c r="N417" s="6" t="s">
        <v>17</v>
      </c>
      <c r="O417" s="6" t="s">
        <v>17</v>
      </c>
      <c r="P417" s="6" t="s">
        <v>17</v>
      </c>
      <c r="Q417" s="6" t="s">
        <v>2</v>
      </c>
      <c r="R417" s="6" t="s">
        <v>17</v>
      </c>
      <c r="S417" s="6" t="s">
        <v>17</v>
      </c>
      <c r="T417" s="6" t="s">
        <v>17</v>
      </c>
      <c r="U417" s="6" t="s">
        <v>17</v>
      </c>
      <c r="V417" s="6" t="s">
        <v>17</v>
      </c>
      <c r="W417" s="6" t="s">
        <v>17</v>
      </c>
      <c r="X417" s="6" t="s">
        <v>17</v>
      </c>
      <c r="Y417" s="6" t="s">
        <v>17</v>
      </c>
      <c r="Z417" s="6" t="s">
        <v>17</v>
      </c>
      <c r="AA417" s="6" t="s">
        <v>17</v>
      </c>
      <c r="AB417" s="6" t="s">
        <v>17</v>
      </c>
      <c r="AC417" s="6" t="s">
        <v>17</v>
      </c>
      <c r="AD417" s="6" t="s">
        <v>17</v>
      </c>
      <c r="AE417" s="6" t="s">
        <v>17</v>
      </c>
      <c r="AF417" s="6" t="s">
        <v>17</v>
      </c>
      <c r="AG417" s="6" t="s">
        <v>17</v>
      </c>
      <c r="AH417" s="6" t="s">
        <v>17</v>
      </c>
      <c r="AI417" s="6" t="s">
        <v>17</v>
      </c>
      <c r="AJ417" s="6" t="s">
        <v>17</v>
      </c>
      <c r="AK417" s="6" t="s">
        <v>17</v>
      </c>
      <c r="AL417" s="6" t="s">
        <v>17</v>
      </c>
      <c r="AM417" s="6" t="s">
        <v>17</v>
      </c>
      <c r="AN417" s="6" t="s">
        <v>17</v>
      </c>
      <c r="AO417" s="6" t="s">
        <v>17</v>
      </c>
      <c r="AP417" s="6" t="s">
        <v>17</v>
      </c>
      <c r="AQ417" s="6" t="s">
        <v>17</v>
      </c>
      <c r="AR417" s="6" t="s">
        <v>17</v>
      </c>
    </row>
    <row r="418" spans="1:44" x14ac:dyDescent="0.3">
      <c r="B418" s="11">
        <v>19</v>
      </c>
      <c r="C418" s="13" t="s">
        <v>2693</v>
      </c>
      <c r="D418" s="6" t="s">
        <v>2852</v>
      </c>
      <c r="E418" s="6" t="s">
        <v>2</v>
      </c>
      <c r="F418" s="6" t="s">
        <v>2620</v>
      </c>
      <c r="G418" s="6">
        <v>1</v>
      </c>
      <c r="H418" s="116">
        <v>0</v>
      </c>
      <c r="I418" s="116">
        <v>0</v>
      </c>
      <c r="J418" s="116">
        <v>0</v>
      </c>
      <c r="K418" s="6" t="s">
        <v>2</v>
      </c>
      <c r="L418" s="6" t="s">
        <v>2</v>
      </c>
      <c r="M418" s="6" t="s">
        <v>2</v>
      </c>
      <c r="N418" s="6" t="s">
        <v>17</v>
      </c>
      <c r="O418" s="6" t="s">
        <v>17</v>
      </c>
      <c r="P418" s="6" t="s">
        <v>17</v>
      </c>
      <c r="Q418" s="6" t="s">
        <v>2</v>
      </c>
      <c r="R418" s="6" t="s">
        <v>17</v>
      </c>
      <c r="S418" s="6" t="s">
        <v>17</v>
      </c>
      <c r="T418" s="6" t="s">
        <v>17</v>
      </c>
      <c r="U418" s="6" t="s">
        <v>17</v>
      </c>
      <c r="V418" s="6" t="s">
        <v>17</v>
      </c>
      <c r="W418" s="6" t="s">
        <v>2</v>
      </c>
      <c r="X418" s="6" t="s">
        <v>2</v>
      </c>
      <c r="Y418" s="6" t="s">
        <v>2</v>
      </c>
      <c r="Z418" s="6" t="s">
        <v>2</v>
      </c>
      <c r="AA418" s="6" t="s">
        <v>2</v>
      </c>
      <c r="AB418" s="6" t="s">
        <v>2</v>
      </c>
      <c r="AC418" s="6" t="s">
        <v>2</v>
      </c>
      <c r="AD418" s="6" t="s">
        <v>2</v>
      </c>
      <c r="AE418" s="6" t="s">
        <v>2</v>
      </c>
      <c r="AF418" s="6" t="s">
        <v>2</v>
      </c>
      <c r="AG418" s="6" t="s">
        <v>2</v>
      </c>
      <c r="AH418" s="6" t="s">
        <v>2</v>
      </c>
      <c r="AI418" s="6" t="s">
        <v>2</v>
      </c>
      <c r="AJ418" s="6" t="s">
        <v>2</v>
      </c>
      <c r="AK418" s="6" t="s">
        <v>2</v>
      </c>
      <c r="AL418" s="6" t="s">
        <v>2</v>
      </c>
      <c r="AM418" s="6" t="s">
        <v>2</v>
      </c>
      <c r="AN418" s="6" t="s">
        <v>2</v>
      </c>
      <c r="AO418" s="6" t="s">
        <v>2</v>
      </c>
      <c r="AP418" s="6" t="s">
        <v>2</v>
      </c>
      <c r="AQ418" s="6" t="s">
        <v>2</v>
      </c>
      <c r="AR418" s="6" t="s">
        <v>2</v>
      </c>
    </row>
    <row r="419" spans="1:44" x14ac:dyDescent="0.3">
      <c r="B419" s="11">
        <v>20</v>
      </c>
      <c r="C419" s="13" t="s">
        <v>2694</v>
      </c>
      <c r="D419" s="6" t="s">
        <v>2851</v>
      </c>
      <c r="E419" s="6" t="s">
        <v>2</v>
      </c>
      <c r="F419" s="6" t="s">
        <v>2620</v>
      </c>
      <c r="G419" s="6">
        <v>1</v>
      </c>
      <c r="H419" s="116">
        <v>0</v>
      </c>
      <c r="I419" s="116">
        <v>0</v>
      </c>
      <c r="J419" s="116">
        <v>0</v>
      </c>
      <c r="K419" s="6" t="s">
        <v>2</v>
      </c>
      <c r="L419" s="6" t="s">
        <v>2</v>
      </c>
      <c r="M419" s="6" t="s">
        <v>2</v>
      </c>
      <c r="N419" s="6" t="s">
        <v>17</v>
      </c>
      <c r="O419" s="6" t="s">
        <v>17</v>
      </c>
      <c r="P419" s="6" t="s">
        <v>17</v>
      </c>
      <c r="Q419" s="6" t="s">
        <v>2</v>
      </c>
      <c r="R419" s="6" t="s">
        <v>17</v>
      </c>
      <c r="S419" s="6" t="s">
        <v>17</v>
      </c>
      <c r="T419" s="6" t="s">
        <v>17</v>
      </c>
      <c r="U419" s="6" t="s">
        <v>17</v>
      </c>
      <c r="V419" s="6" t="s">
        <v>17</v>
      </c>
      <c r="W419" s="6" t="s">
        <v>17</v>
      </c>
      <c r="X419" s="6" t="s">
        <v>17</v>
      </c>
      <c r="Y419" s="6" t="s">
        <v>17</v>
      </c>
      <c r="Z419" s="6" t="s">
        <v>17</v>
      </c>
      <c r="AA419" s="6" t="s">
        <v>17</v>
      </c>
      <c r="AB419" s="6" t="s">
        <v>17</v>
      </c>
      <c r="AC419" s="6" t="s">
        <v>17</v>
      </c>
      <c r="AD419" s="6" t="s">
        <v>17</v>
      </c>
      <c r="AE419" s="6" t="s">
        <v>17</v>
      </c>
      <c r="AF419" s="6" t="s">
        <v>17</v>
      </c>
      <c r="AG419" s="6" t="s">
        <v>17</v>
      </c>
      <c r="AH419" s="6" t="s">
        <v>17</v>
      </c>
      <c r="AI419" s="6" t="s">
        <v>17</v>
      </c>
      <c r="AJ419" s="6" t="s">
        <v>17</v>
      </c>
      <c r="AK419" s="6" t="s">
        <v>17</v>
      </c>
      <c r="AL419" s="6" t="s">
        <v>17</v>
      </c>
      <c r="AM419" s="6" t="s">
        <v>17</v>
      </c>
      <c r="AN419" s="6" t="s">
        <v>17</v>
      </c>
      <c r="AO419" s="6" t="s">
        <v>17</v>
      </c>
      <c r="AP419" s="6" t="s">
        <v>17</v>
      </c>
      <c r="AQ419" s="6" t="s">
        <v>17</v>
      </c>
      <c r="AR419" s="6" t="s">
        <v>17</v>
      </c>
    </row>
    <row r="420" spans="1:44" x14ac:dyDescent="0.3">
      <c r="B420" s="11">
        <v>21</v>
      </c>
      <c r="C420" s="13" t="s">
        <v>2420</v>
      </c>
      <c r="D420" s="6" t="s">
        <v>2421</v>
      </c>
      <c r="E420" s="6" t="s">
        <v>2</v>
      </c>
      <c r="F420" s="6" t="s">
        <v>2620</v>
      </c>
      <c r="G420" s="6">
        <v>1</v>
      </c>
      <c r="H420" s="116">
        <v>0</v>
      </c>
      <c r="I420" s="116">
        <v>0</v>
      </c>
      <c r="J420" s="116">
        <v>0</v>
      </c>
      <c r="K420" s="6" t="s">
        <v>2</v>
      </c>
      <c r="L420" s="6" t="s">
        <v>2</v>
      </c>
      <c r="M420" s="6" t="s">
        <v>2</v>
      </c>
      <c r="N420" s="6" t="s">
        <v>17</v>
      </c>
      <c r="O420" s="6" t="s">
        <v>17</v>
      </c>
      <c r="P420" s="6" t="s">
        <v>17</v>
      </c>
      <c r="Q420" s="6" t="s">
        <v>2</v>
      </c>
      <c r="R420" s="6" t="s">
        <v>17</v>
      </c>
      <c r="S420" s="6" t="s">
        <v>17</v>
      </c>
      <c r="T420" s="6" t="s">
        <v>17</v>
      </c>
      <c r="U420" s="6" t="s">
        <v>17</v>
      </c>
      <c r="V420" s="6" t="s">
        <v>17</v>
      </c>
      <c r="W420" s="6" t="s">
        <v>17</v>
      </c>
      <c r="X420" s="6" t="s">
        <v>17</v>
      </c>
      <c r="Y420" s="6" t="s">
        <v>17</v>
      </c>
      <c r="Z420" s="6" t="s">
        <v>17</v>
      </c>
      <c r="AA420" s="6" t="s">
        <v>17</v>
      </c>
      <c r="AB420" s="6" t="s">
        <v>17</v>
      </c>
      <c r="AC420" s="6" t="s">
        <v>17</v>
      </c>
      <c r="AD420" s="6" t="s">
        <v>17</v>
      </c>
      <c r="AE420" s="6" t="s">
        <v>17</v>
      </c>
      <c r="AF420" s="6" t="s">
        <v>17</v>
      </c>
      <c r="AG420" s="6" t="s">
        <v>17</v>
      </c>
      <c r="AH420" s="6" t="s">
        <v>17</v>
      </c>
      <c r="AI420" s="6" t="s">
        <v>17</v>
      </c>
      <c r="AJ420" s="6" t="s">
        <v>17</v>
      </c>
      <c r="AK420" s="6" t="s">
        <v>17</v>
      </c>
      <c r="AL420" s="6" t="s">
        <v>17</v>
      </c>
      <c r="AM420" s="6" t="s">
        <v>17</v>
      </c>
      <c r="AN420" s="6" t="s">
        <v>17</v>
      </c>
      <c r="AO420" s="6" t="s">
        <v>17</v>
      </c>
      <c r="AP420" s="6" t="s">
        <v>17</v>
      </c>
      <c r="AQ420" s="6" t="s">
        <v>17</v>
      </c>
      <c r="AR420" s="6" t="s">
        <v>17</v>
      </c>
    </row>
    <row r="421" spans="1:44" x14ac:dyDescent="0.3">
      <c r="B421" s="11">
        <v>22</v>
      </c>
      <c r="C421" s="13" t="s">
        <v>2695</v>
      </c>
      <c r="D421" s="6" t="s">
        <v>2705</v>
      </c>
      <c r="E421" s="6" t="s">
        <v>2</v>
      </c>
      <c r="F421" s="6" t="s">
        <v>2620</v>
      </c>
      <c r="G421" s="6">
        <v>1</v>
      </c>
      <c r="H421" s="116">
        <v>0</v>
      </c>
      <c r="I421" s="116">
        <v>0</v>
      </c>
      <c r="J421" s="116">
        <v>0</v>
      </c>
      <c r="K421" s="6" t="s">
        <v>2</v>
      </c>
      <c r="L421" s="6" t="s">
        <v>2</v>
      </c>
      <c r="M421" s="6" t="s">
        <v>2</v>
      </c>
      <c r="N421" s="6" t="s">
        <v>17</v>
      </c>
      <c r="O421" s="6" t="s">
        <v>17</v>
      </c>
      <c r="P421" s="6" t="s">
        <v>17</v>
      </c>
      <c r="Q421" s="6" t="s">
        <v>2</v>
      </c>
      <c r="R421" s="6" t="s">
        <v>17</v>
      </c>
      <c r="S421" s="6" t="s">
        <v>17</v>
      </c>
      <c r="T421" s="6" t="s">
        <v>17</v>
      </c>
      <c r="U421" s="6" t="s">
        <v>17</v>
      </c>
      <c r="V421" s="6" t="s">
        <v>17</v>
      </c>
      <c r="W421" s="6" t="s">
        <v>17</v>
      </c>
      <c r="X421" s="6" t="s">
        <v>17</v>
      </c>
      <c r="Y421" s="6" t="s">
        <v>17</v>
      </c>
      <c r="Z421" s="6" t="s">
        <v>17</v>
      </c>
      <c r="AA421" s="6" t="s">
        <v>17</v>
      </c>
      <c r="AB421" s="6" t="s">
        <v>17</v>
      </c>
      <c r="AC421" s="6" t="s">
        <v>17</v>
      </c>
      <c r="AD421" s="6" t="s">
        <v>17</v>
      </c>
      <c r="AE421" s="6" t="s">
        <v>17</v>
      </c>
      <c r="AF421" s="6" t="s">
        <v>17</v>
      </c>
      <c r="AG421" s="6" t="s">
        <v>17</v>
      </c>
      <c r="AH421" s="6" t="s">
        <v>17</v>
      </c>
      <c r="AI421" s="6" t="s">
        <v>17</v>
      </c>
      <c r="AJ421" s="6" t="s">
        <v>17</v>
      </c>
      <c r="AK421" s="6" t="s">
        <v>17</v>
      </c>
      <c r="AL421" s="6" t="s">
        <v>17</v>
      </c>
      <c r="AM421" s="6" t="s">
        <v>17</v>
      </c>
      <c r="AN421" s="6" t="s">
        <v>17</v>
      </c>
      <c r="AO421" s="6" t="s">
        <v>17</v>
      </c>
      <c r="AP421" s="6" t="s">
        <v>17</v>
      </c>
      <c r="AQ421" s="6" t="s">
        <v>17</v>
      </c>
      <c r="AR421" s="6" t="s">
        <v>17</v>
      </c>
    </row>
    <row r="422" spans="1:44" x14ac:dyDescent="0.3">
      <c r="B422" s="11">
        <v>23</v>
      </c>
      <c r="C422" s="13" t="s">
        <v>2696</v>
      </c>
      <c r="D422" s="6" t="s">
        <v>2706</v>
      </c>
      <c r="E422" s="6" t="s">
        <v>2</v>
      </c>
      <c r="F422" s="6" t="s">
        <v>2620</v>
      </c>
      <c r="G422" s="6">
        <v>1</v>
      </c>
      <c r="H422" s="116">
        <v>0</v>
      </c>
      <c r="I422" s="116">
        <v>0</v>
      </c>
      <c r="J422" s="116">
        <v>0</v>
      </c>
      <c r="K422" s="6" t="s">
        <v>2</v>
      </c>
      <c r="L422" s="6" t="s">
        <v>2</v>
      </c>
      <c r="M422" s="6" t="s">
        <v>2</v>
      </c>
      <c r="N422" s="6" t="s">
        <v>17</v>
      </c>
      <c r="O422" s="6" t="s">
        <v>17</v>
      </c>
      <c r="P422" s="6" t="s">
        <v>17</v>
      </c>
      <c r="Q422" s="6" t="s">
        <v>2</v>
      </c>
      <c r="R422" s="6" t="s">
        <v>17</v>
      </c>
      <c r="S422" s="6" t="s">
        <v>17</v>
      </c>
      <c r="T422" s="6" t="s">
        <v>17</v>
      </c>
      <c r="U422" s="6" t="s">
        <v>17</v>
      </c>
      <c r="V422" s="6" t="s">
        <v>17</v>
      </c>
      <c r="W422" s="6" t="s">
        <v>17</v>
      </c>
      <c r="X422" s="6" t="s">
        <v>17</v>
      </c>
      <c r="Y422" s="6" t="s">
        <v>17</v>
      </c>
      <c r="Z422" s="6" t="s">
        <v>17</v>
      </c>
      <c r="AA422" s="6" t="s">
        <v>17</v>
      </c>
      <c r="AB422" s="6" t="s">
        <v>17</v>
      </c>
      <c r="AC422" s="6" t="s">
        <v>17</v>
      </c>
      <c r="AD422" s="6" t="s">
        <v>17</v>
      </c>
      <c r="AE422" s="6" t="s">
        <v>17</v>
      </c>
      <c r="AF422" s="6" t="s">
        <v>17</v>
      </c>
      <c r="AG422" s="6" t="s">
        <v>17</v>
      </c>
      <c r="AH422" s="6" t="s">
        <v>17</v>
      </c>
      <c r="AI422" s="6" t="s">
        <v>17</v>
      </c>
      <c r="AJ422" s="6" t="s">
        <v>17</v>
      </c>
      <c r="AK422" s="6" t="s">
        <v>17</v>
      </c>
      <c r="AL422" s="6" t="s">
        <v>17</v>
      </c>
      <c r="AM422" s="6" t="s">
        <v>17</v>
      </c>
      <c r="AN422" s="6" t="s">
        <v>17</v>
      </c>
      <c r="AO422" s="6" t="s">
        <v>17</v>
      </c>
      <c r="AP422" s="6" t="s">
        <v>17</v>
      </c>
      <c r="AQ422" s="6" t="s">
        <v>17</v>
      </c>
      <c r="AR422" s="6" t="s">
        <v>17</v>
      </c>
    </row>
    <row r="423" spans="1:44" x14ac:dyDescent="0.3">
      <c r="B423" s="11">
        <v>24</v>
      </c>
      <c r="C423" s="13" t="s">
        <v>2697</v>
      </c>
      <c r="D423" s="6" t="s">
        <v>2707</v>
      </c>
      <c r="E423" s="6" t="s">
        <v>2</v>
      </c>
      <c r="F423" s="6" t="s">
        <v>2620</v>
      </c>
      <c r="G423" s="6">
        <v>1</v>
      </c>
      <c r="H423" s="116">
        <v>0</v>
      </c>
      <c r="I423" s="116">
        <v>0</v>
      </c>
      <c r="J423" s="116">
        <v>0</v>
      </c>
      <c r="K423" s="6" t="s">
        <v>2</v>
      </c>
      <c r="L423" s="6" t="s">
        <v>2</v>
      </c>
      <c r="M423" s="6" t="s">
        <v>2</v>
      </c>
      <c r="N423" s="6" t="s">
        <v>17</v>
      </c>
      <c r="O423" s="6" t="s">
        <v>17</v>
      </c>
      <c r="P423" s="6" t="s">
        <v>17</v>
      </c>
      <c r="Q423" s="6" t="s">
        <v>2</v>
      </c>
      <c r="R423" s="6" t="s">
        <v>17</v>
      </c>
      <c r="S423" s="6" t="s">
        <v>17</v>
      </c>
      <c r="T423" s="6" t="s">
        <v>17</v>
      </c>
      <c r="U423" s="6" t="s">
        <v>17</v>
      </c>
      <c r="V423" s="6" t="s">
        <v>17</v>
      </c>
      <c r="W423" s="6" t="s">
        <v>17</v>
      </c>
      <c r="X423" s="6" t="s">
        <v>17</v>
      </c>
      <c r="Y423" s="6" t="s">
        <v>17</v>
      </c>
      <c r="Z423" s="6" t="s">
        <v>17</v>
      </c>
      <c r="AA423" s="6" t="s">
        <v>17</v>
      </c>
      <c r="AB423" s="6" t="s">
        <v>17</v>
      </c>
      <c r="AC423" s="6" t="s">
        <v>17</v>
      </c>
      <c r="AD423" s="6" t="s">
        <v>17</v>
      </c>
      <c r="AE423" s="6" t="s">
        <v>17</v>
      </c>
      <c r="AF423" s="6" t="s">
        <v>17</v>
      </c>
      <c r="AG423" s="6" t="s">
        <v>17</v>
      </c>
      <c r="AH423" s="6" t="s">
        <v>17</v>
      </c>
      <c r="AI423" s="6" t="s">
        <v>17</v>
      </c>
      <c r="AJ423" s="6" t="s">
        <v>17</v>
      </c>
      <c r="AK423" s="6" t="s">
        <v>17</v>
      </c>
      <c r="AL423" s="6" t="s">
        <v>17</v>
      </c>
      <c r="AM423" s="6" t="s">
        <v>17</v>
      </c>
      <c r="AN423" s="6" t="s">
        <v>17</v>
      </c>
      <c r="AO423" s="6" t="s">
        <v>17</v>
      </c>
      <c r="AP423" s="6" t="s">
        <v>17</v>
      </c>
      <c r="AQ423" s="6" t="s">
        <v>17</v>
      </c>
      <c r="AR423" s="6" t="s">
        <v>17</v>
      </c>
    </row>
    <row r="424" spans="1:44" x14ac:dyDescent="0.3">
      <c r="B424" s="11">
        <v>25</v>
      </c>
      <c r="C424" s="13" t="s">
        <v>2698</v>
      </c>
      <c r="D424" s="6" t="s">
        <v>2708</v>
      </c>
      <c r="E424" s="6" t="s">
        <v>2</v>
      </c>
      <c r="F424" s="6" t="s">
        <v>2620</v>
      </c>
      <c r="G424" s="6">
        <v>1</v>
      </c>
      <c r="H424" s="116">
        <v>0</v>
      </c>
      <c r="I424" s="116">
        <v>0</v>
      </c>
      <c r="J424" s="116">
        <v>0</v>
      </c>
      <c r="K424" s="6" t="s">
        <v>2</v>
      </c>
      <c r="L424" s="6" t="s">
        <v>2</v>
      </c>
      <c r="M424" s="6" t="s">
        <v>2</v>
      </c>
      <c r="N424" s="6" t="s">
        <v>17</v>
      </c>
      <c r="O424" s="6" t="s">
        <v>17</v>
      </c>
      <c r="P424" s="6" t="s">
        <v>17</v>
      </c>
      <c r="Q424" s="6" t="s">
        <v>2</v>
      </c>
      <c r="R424" s="6" t="s">
        <v>17</v>
      </c>
      <c r="S424" s="6" t="s">
        <v>17</v>
      </c>
      <c r="T424" s="6" t="s">
        <v>17</v>
      </c>
      <c r="U424" s="6" t="s">
        <v>17</v>
      </c>
      <c r="V424" s="6" t="s">
        <v>17</v>
      </c>
      <c r="W424" s="6" t="s">
        <v>17</v>
      </c>
      <c r="X424" s="6" t="s">
        <v>17</v>
      </c>
      <c r="Y424" s="6" t="s">
        <v>17</v>
      </c>
      <c r="Z424" s="6" t="s">
        <v>17</v>
      </c>
      <c r="AA424" s="6" t="s">
        <v>17</v>
      </c>
      <c r="AB424" s="6" t="s">
        <v>17</v>
      </c>
      <c r="AC424" s="6" t="s">
        <v>17</v>
      </c>
      <c r="AD424" s="6" t="s">
        <v>17</v>
      </c>
      <c r="AE424" s="6" t="s">
        <v>17</v>
      </c>
      <c r="AF424" s="6" t="s">
        <v>17</v>
      </c>
      <c r="AG424" s="6" t="s">
        <v>17</v>
      </c>
      <c r="AH424" s="6" t="s">
        <v>17</v>
      </c>
      <c r="AI424" s="6" t="s">
        <v>17</v>
      </c>
      <c r="AJ424" s="6" t="s">
        <v>17</v>
      </c>
      <c r="AK424" s="6" t="s">
        <v>17</v>
      </c>
      <c r="AL424" s="6" t="s">
        <v>17</v>
      </c>
      <c r="AM424" s="6" t="s">
        <v>17</v>
      </c>
      <c r="AN424" s="6" t="s">
        <v>17</v>
      </c>
      <c r="AO424" s="6" t="s">
        <v>17</v>
      </c>
      <c r="AP424" s="6" t="s">
        <v>17</v>
      </c>
      <c r="AQ424" s="6" t="s">
        <v>17</v>
      </c>
      <c r="AR424" s="6" t="s">
        <v>17</v>
      </c>
    </row>
    <row r="425" spans="1:44" x14ac:dyDescent="0.3">
      <c r="B425" s="11">
        <v>26</v>
      </c>
      <c r="C425" s="13" t="s">
        <v>2699</v>
      </c>
      <c r="D425" s="6" t="s">
        <v>2709</v>
      </c>
      <c r="E425" s="6" t="s">
        <v>2</v>
      </c>
      <c r="F425" s="6" t="s">
        <v>2620</v>
      </c>
      <c r="G425" s="6">
        <v>1</v>
      </c>
      <c r="H425" s="116">
        <v>0</v>
      </c>
      <c r="I425" s="116">
        <v>0</v>
      </c>
      <c r="J425" s="116">
        <v>0</v>
      </c>
      <c r="K425" s="6" t="s">
        <v>2</v>
      </c>
      <c r="L425" s="6" t="s">
        <v>2</v>
      </c>
      <c r="M425" s="6" t="s">
        <v>2</v>
      </c>
      <c r="N425" s="6" t="s">
        <v>17</v>
      </c>
      <c r="O425" s="6" t="s">
        <v>17</v>
      </c>
      <c r="P425" s="6" t="s">
        <v>17</v>
      </c>
      <c r="Q425" s="6" t="s">
        <v>2</v>
      </c>
      <c r="R425" s="6" t="s">
        <v>17</v>
      </c>
      <c r="S425" s="6" t="s">
        <v>17</v>
      </c>
      <c r="T425" s="6" t="s">
        <v>17</v>
      </c>
      <c r="U425" s="6" t="s">
        <v>17</v>
      </c>
      <c r="V425" s="6" t="s">
        <v>17</v>
      </c>
      <c r="W425" s="6" t="s">
        <v>17</v>
      </c>
      <c r="X425" s="6" t="s">
        <v>17</v>
      </c>
      <c r="Y425" s="6" t="s">
        <v>17</v>
      </c>
      <c r="Z425" s="6" t="s">
        <v>17</v>
      </c>
      <c r="AA425" s="6" t="s">
        <v>17</v>
      </c>
      <c r="AB425" s="6" t="s">
        <v>17</v>
      </c>
      <c r="AC425" s="6" t="s">
        <v>17</v>
      </c>
      <c r="AD425" s="6" t="s">
        <v>17</v>
      </c>
      <c r="AE425" s="6" t="s">
        <v>17</v>
      </c>
      <c r="AF425" s="6" t="s">
        <v>17</v>
      </c>
      <c r="AG425" s="6" t="s">
        <v>17</v>
      </c>
      <c r="AH425" s="6" t="s">
        <v>17</v>
      </c>
      <c r="AI425" s="6" t="s">
        <v>17</v>
      </c>
      <c r="AJ425" s="6" t="s">
        <v>17</v>
      </c>
      <c r="AK425" s="6" t="s">
        <v>17</v>
      </c>
      <c r="AL425" s="6" t="s">
        <v>17</v>
      </c>
      <c r="AM425" s="6" t="s">
        <v>17</v>
      </c>
      <c r="AN425" s="6" t="s">
        <v>17</v>
      </c>
      <c r="AO425" s="6" t="s">
        <v>17</v>
      </c>
      <c r="AP425" s="6" t="s">
        <v>17</v>
      </c>
      <c r="AQ425" s="6" t="s">
        <v>17</v>
      </c>
      <c r="AR425" s="6" t="s">
        <v>17</v>
      </c>
    </row>
    <row r="426" spans="1:44" x14ac:dyDescent="0.3">
      <c r="B426" s="11">
        <v>27</v>
      </c>
      <c r="C426" s="13" t="s">
        <v>2700</v>
      </c>
      <c r="D426" s="6" t="s">
        <v>2710</v>
      </c>
      <c r="E426" s="6" t="s">
        <v>2</v>
      </c>
      <c r="F426" s="6" t="s">
        <v>2620</v>
      </c>
      <c r="G426" s="6">
        <v>1</v>
      </c>
      <c r="H426" s="116">
        <v>0</v>
      </c>
      <c r="I426" s="116">
        <v>0</v>
      </c>
      <c r="J426" s="116">
        <v>0</v>
      </c>
      <c r="K426" s="6" t="s">
        <v>2</v>
      </c>
      <c r="L426" s="6" t="s">
        <v>2</v>
      </c>
      <c r="M426" s="6" t="s">
        <v>2</v>
      </c>
      <c r="N426" s="6" t="s">
        <v>17</v>
      </c>
      <c r="O426" s="6" t="s">
        <v>17</v>
      </c>
      <c r="P426" s="6" t="s">
        <v>17</v>
      </c>
      <c r="Q426" s="6" t="s">
        <v>2</v>
      </c>
      <c r="R426" s="6" t="s">
        <v>17</v>
      </c>
      <c r="S426" s="6" t="s">
        <v>17</v>
      </c>
      <c r="T426" s="6" t="s">
        <v>17</v>
      </c>
      <c r="U426" s="6" t="s">
        <v>17</v>
      </c>
      <c r="V426" s="6" t="s">
        <v>17</v>
      </c>
      <c r="W426" s="6" t="s">
        <v>17</v>
      </c>
      <c r="X426" s="6" t="s">
        <v>17</v>
      </c>
      <c r="Y426" s="6" t="s">
        <v>17</v>
      </c>
      <c r="Z426" s="6" t="s">
        <v>17</v>
      </c>
      <c r="AA426" s="6" t="s">
        <v>17</v>
      </c>
      <c r="AB426" s="6" t="s">
        <v>17</v>
      </c>
      <c r="AC426" s="6" t="s">
        <v>17</v>
      </c>
      <c r="AD426" s="6" t="s">
        <v>17</v>
      </c>
      <c r="AE426" s="6" t="s">
        <v>17</v>
      </c>
      <c r="AF426" s="6" t="s">
        <v>17</v>
      </c>
      <c r="AG426" s="6" t="s">
        <v>17</v>
      </c>
      <c r="AH426" s="6" t="s">
        <v>17</v>
      </c>
      <c r="AI426" s="6" t="s">
        <v>17</v>
      </c>
      <c r="AJ426" s="6" t="s">
        <v>17</v>
      </c>
      <c r="AK426" s="6" t="s">
        <v>17</v>
      </c>
      <c r="AL426" s="6" t="s">
        <v>17</v>
      </c>
      <c r="AM426" s="6" t="s">
        <v>17</v>
      </c>
      <c r="AN426" s="6" t="s">
        <v>17</v>
      </c>
      <c r="AO426" s="6" t="s">
        <v>17</v>
      </c>
      <c r="AP426" s="6" t="s">
        <v>17</v>
      </c>
      <c r="AQ426" s="6" t="s">
        <v>17</v>
      </c>
      <c r="AR426" s="6" t="s">
        <v>17</v>
      </c>
    </row>
    <row r="427" spans="1:44" x14ac:dyDescent="0.3">
      <c r="B427" s="11">
        <v>28</v>
      </c>
      <c r="C427" s="13" t="s">
        <v>2701</v>
      </c>
      <c r="D427" s="6" t="s">
        <v>2711</v>
      </c>
      <c r="E427" s="6" t="s">
        <v>2</v>
      </c>
      <c r="F427" s="6" t="s">
        <v>2620</v>
      </c>
      <c r="G427" s="6">
        <v>1</v>
      </c>
      <c r="H427" s="116">
        <v>0</v>
      </c>
      <c r="I427" s="116">
        <v>0</v>
      </c>
      <c r="J427" s="116">
        <v>0</v>
      </c>
      <c r="K427" s="6" t="s">
        <v>2</v>
      </c>
      <c r="L427" s="6" t="s">
        <v>2</v>
      </c>
      <c r="M427" s="6" t="s">
        <v>2</v>
      </c>
      <c r="N427" s="6" t="s">
        <v>17</v>
      </c>
      <c r="O427" s="6" t="s">
        <v>17</v>
      </c>
      <c r="P427" s="6" t="s">
        <v>17</v>
      </c>
      <c r="Q427" s="6" t="s">
        <v>2</v>
      </c>
      <c r="R427" s="6" t="s">
        <v>17</v>
      </c>
      <c r="S427" s="6" t="s">
        <v>17</v>
      </c>
      <c r="T427" s="6" t="s">
        <v>17</v>
      </c>
      <c r="U427" s="6" t="s">
        <v>17</v>
      </c>
      <c r="V427" s="6" t="s">
        <v>17</v>
      </c>
      <c r="W427" s="6" t="s">
        <v>17</v>
      </c>
      <c r="X427" s="6" t="s">
        <v>17</v>
      </c>
      <c r="Y427" s="6" t="s">
        <v>17</v>
      </c>
      <c r="Z427" s="6" t="s">
        <v>17</v>
      </c>
      <c r="AA427" s="6" t="s">
        <v>17</v>
      </c>
      <c r="AB427" s="6" t="s">
        <v>17</v>
      </c>
      <c r="AC427" s="6" t="s">
        <v>17</v>
      </c>
      <c r="AD427" s="6" t="s">
        <v>17</v>
      </c>
      <c r="AE427" s="6" t="s">
        <v>17</v>
      </c>
      <c r="AF427" s="6" t="s">
        <v>17</v>
      </c>
      <c r="AG427" s="6" t="s">
        <v>17</v>
      </c>
      <c r="AH427" s="6" t="s">
        <v>17</v>
      </c>
      <c r="AI427" s="6" t="s">
        <v>17</v>
      </c>
      <c r="AJ427" s="6" t="s">
        <v>17</v>
      </c>
      <c r="AK427" s="6" t="s">
        <v>17</v>
      </c>
      <c r="AL427" s="6" t="s">
        <v>17</v>
      </c>
      <c r="AM427" s="6" t="s">
        <v>17</v>
      </c>
      <c r="AN427" s="6" t="s">
        <v>17</v>
      </c>
      <c r="AO427" s="6" t="s">
        <v>17</v>
      </c>
      <c r="AP427" s="6" t="s">
        <v>17</v>
      </c>
      <c r="AQ427" s="6" t="s">
        <v>17</v>
      </c>
      <c r="AR427" s="6" t="s">
        <v>17</v>
      </c>
    </row>
    <row r="428" spans="1:44" x14ac:dyDescent="0.3">
      <c r="B428" s="11">
        <v>29</v>
      </c>
      <c r="C428" s="13" t="s">
        <v>2702</v>
      </c>
      <c r="D428" s="6" t="s">
        <v>2712</v>
      </c>
      <c r="E428" s="6" t="s">
        <v>2</v>
      </c>
      <c r="F428" s="6" t="s">
        <v>2620</v>
      </c>
      <c r="G428" s="6">
        <v>1</v>
      </c>
      <c r="H428" s="116">
        <v>0</v>
      </c>
      <c r="I428" s="116">
        <v>0</v>
      </c>
      <c r="J428" s="116">
        <v>0</v>
      </c>
      <c r="K428" s="6" t="s">
        <v>2</v>
      </c>
      <c r="L428" s="6" t="s">
        <v>2</v>
      </c>
      <c r="M428" s="6" t="s">
        <v>2</v>
      </c>
      <c r="N428" s="6" t="s">
        <v>17</v>
      </c>
      <c r="O428" s="6" t="s">
        <v>17</v>
      </c>
      <c r="P428" s="6" t="s">
        <v>17</v>
      </c>
      <c r="Q428" s="6" t="s">
        <v>2</v>
      </c>
      <c r="R428" s="6" t="s">
        <v>17</v>
      </c>
      <c r="S428" s="6" t="s">
        <v>17</v>
      </c>
      <c r="T428" s="6" t="s">
        <v>17</v>
      </c>
      <c r="U428" s="6" t="s">
        <v>17</v>
      </c>
      <c r="V428" s="6" t="s">
        <v>17</v>
      </c>
      <c r="W428" s="6" t="s">
        <v>17</v>
      </c>
      <c r="X428" s="6" t="s">
        <v>17</v>
      </c>
      <c r="Y428" s="6" t="s">
        <v>17</v>
      </c>
      <c r="Z428" s="6" t="s">
        <v>17</v>
      </c>
      <c r="AA428" s="6" t="s">
        <v>17</v>
      </c>
      <c r="AB428" s="6" t="s">
        <v>17</v>
      </c>
      <c r="AC428" s="6" t="s">
        <v>17</v>
      </c>
      <c r="AD428" s="6" t="s">
        <v>17</v>
      </c>
      <c r="AE428" s="6" t="s">
        <v>17</v>
      </c>
      <c r="AF428" s="6" t="s">
        <v>17</v>
      </c>
      <c r="AG428" s="6" t="s">
        <v>17</v>
      </c>
      <c r="AH428" s="6" t="s">
        <v>17</v>
      </c>
      <c r="AI428" s="6" t="s">
        <v>17</v>
      </c>
      <c r="AJ428" s="6" t="s">
        <v>17</v>
      </c>
      <c r="AK428" s="6" t="s">
        <v>17</v>
      </c>
      <c r="AL428" s="6" t="s">
        <v>17</v>
      </c>
      <c r="AM428" s="6" t="s">
        <v>17</v>
      </c>
      <c r="AN428" s="6" t="s">
        <v>17</v>
      </c>
      <c r="AO428" s="6" t="s">
        <v>17</v>
      </c>
      <c r="AP428" s="6" t="s">
        <v>17</v>
      </c>
      <c r="AQ428" s="6" t="s">
        <v>17</v>
      </c>
      <c r="AR428" s="6" t="s">
        <v>17</v>
      </c>
    </row>
    <row r="429" spans="1:44" x14ac:dyDescent="0.3">
      <c r="B429" s="11">
        <v>30</v>
      </c>
      <c r="C429" s="13" t="s">
        <v>2703</v>
      </c>
      <c r="D429" s="6" t="s">
        <v>2850</v>
      </c>
      <c r="E429" s="6" t="s">
        <v>2</v>
      </c>
      <c r="F429" s="6" t="s">
        <v>2620</v>
      </c>
      <c r="G429" s="6">
        <v>1</v>
      </c>
      <c r="H429" s="116">
        <v>0</v>
      </c>
      <c r="I429" s="116">
        <v>0</v>
      </c>
      <c r="J429" s="116">
        <v>0</v>
      </c>
      <c r="K429" s="6" t="s">
        <v>2</v>
      </c>
      <c r="L429" s="6" t="s">
        <v>2</v>
      </c>
      <c r="M429" s="6" t="s">
        <v>2</v>
      </c>
      <c r="N429" s="6" t="s">
        <v>17</v>
      </c>
      <c r="O429" s="6" t="s">
        <v>17</v>
      </c>
      <c r="P429" s="6" t="s">
        <v>17</v>
      </c>
      <c r="Q429" s="6" t="s">
        <v>2</v>
      </c>
      <c r="R429" s="6" t="s">
        <v>17</v>
      </c>
      <c r="S429" s="6" t="s">
        <v>17</v>
      </c>
      <c r="T429" s="6" t="s">
        <v>17</v>
      </c>
      <c r="U429" s="6" t="s">
        <v>17</v>
      </c>
      <c r="V429" s="6" t="s">
        <v>17</v>
      </c>
      <c r="W429" s="6" t="s">
        <v>17</v>
      </c>
      <c r="X429" s="6" t="s">
        <v>17</v>
      </c>
      <c r="Y429" s="6" t="s">
        <v>17</v>
      </c>
      <c r="Z429" s="6" t="s">
        <v>17</v>
      </c>
      <c r="AA429" s="6" t="s">
        <v>17</v>
      </c>
      <c r="AB429" s="6" t="s">
        <v>17</v>
      </c>
      <c r="AC429" s="6" t="s">
        <v>17</v>
      </c>
      <c r="AD429" s="6" t="s">
        <v>17</v>
      </c>
      <c r="AE429" s="6" t="s">
        <v>17</v>
      </c>
      <c r="AF429" s="6" t="s">
        <v>17</v>
      </c>
      <c r="AG429" s="6" t="s">
        <v>17</v>
      </c>
      <c r="AH429" s="6" t="s">
        <v>17</v>
      </c>
      <c r="AI429" s="6" t="s">
        <v>17</v>
      </c>
      <c r="AJ429" s="6" t="s">
        <v>17</v>
      </c>
      <c r="AK429" s="6" t="s">
        <v>17</v>
      </c>
      <c r="AL429" s="6" t="s">
        <v>17</v>
      </c>
      <c r="AM429" s="6" t="s">
        <v>17</v>
      </c>
      <c r="AN429" s="6" t="s">
        <v>17</v>
      </c>
      <c r="AO429" s="6" t="s">
        <v>17</v>
      </c>
      <c r="AP429" s="6" t="s">
        <v>17</v>
      </c>
      <c r="AQ429" s="6" t="s">
        <v>17</v>
      </c>
      <c r="AR429" s="6" t="s">
        <v>17</v>
      </c>
    </row>
    <row r="430" spans="1:44" x14ac:dyDescent="0.3">
      <c r="B430" s="11">
        <v>31</v>
      </c>
      <c r="C430" s="13" t="s">
        <v>2704</v>
      </c>
      <c r="D430" s="6" t="s">
        <v>2849</v>
      </c>
      <c r="E430" s="6" t="s">
        <v>2</v>
      </c>
      <c r="F430" s="6" t="s">
        <v>2620</v>
      </c>
      <c r="G430" s="6">
        <v>1</v>
      </c>
      <c r="H430" s="116">
        <v>0</v>
      </c>
      <c r="I430" s="116">
        <v>0</v>
      </c>
      <c r="J430" s="116">
        <v>0</v>
      </c>
      <c r="K430" s="6" t="s">
        <v>2</v>
      </c>
      <c r="L430" s="6" t="s">
        <v>2</v>
      </c>
      <c r="M430" s="6" t="s">
        <v>2</v>
      </c>
      <c r="N430" s="6" t="s">
        <v>17</v>
      </c>
      <c r="O430" s="6" t="s">
        <v>17</v>
      </c>
      <c r="P430" s="6" t="s">
        <v>17</v>
      </c>
      <c r="Q430" s="6" t="s">
        <v>2</v>
      </c>
      <c r="R430" s="6" t="s">
        <v>17</v>
      </c>
      <c r="S430" s="6" t="s">
        <v>17</v>
      </c>
      <c r="T430" s="6" t="s">
        <v>17</v>
      </c>
      <c r="U430" s="6" t="s">
        <v>17</v>
      </c>
      <c r="V430" s="6" t="s">
        <v>17</v>
      </c>
      <c r="W430" s="6" t="s">
        <v>17</v>
      </c>
      <c r="X430" s="6" t="s">
        <v>17</v>
      </c>
      <c r="Y430" s="6" t="s">
        <v>17</v>
      </c>
      <c r="Z430" s="6" t="s">
        <v>17</v>
      </c>
      <c r="AA430" s="6" t="s">
        <v>17</v>
      </c>
      <c r="AB430" s="6" t="s">
        <v>17</v>
      </c>
      <c r="AC430" s="6" t="s">
        <v>17</v>
      </c>
      <c r="AD430" s="6" t="s">
        <v>17</v>
      </c>
      <c r="AE430" s="6" t="s">
        <v>17</v>
      </c>
      <c r="AF430" s="6" t="s">
        <v>17</v>
      </c>
      <c r="AG430" s="6" t="s">
        <v>17</v>
      </c>
      <c r="AH430" s="6" t="s">
        <v>17</v>
      </c>
      <c r="AI430" s="6" t="s">
        <v>17</v>
      </c>
      <c r="AJ430" s="6" t="s">
        <v>17</v>
      </c>
      <c r="AK430" s="6" t="s">
        <v>17</v>
      </c>
      <c r="AL430" s="6" t="s">
        <v>17</v>
      </c>
      <c r="AM430" s="6" t="s">
        <v>17</v>
      </c>
      <c r="AN430" s="6" t="s">
        <v>17</v>
      </c>
      <c r="AO430" s="6" t="s">
        <v>17</v>
      </c>
      <c r="AP430" s="6" t="s">
        <v>17</v>
      </c>
      <c r="AQ430" s="6" t="s">
        <v>17</v>
      </c>
      <c r="AR430" s="6" t="s">
        <v>17</v>
      </c>
    </row>
    <row r="431" spans="1:44" x14ac:dyDescent="0.3">
      <c r="B431" s="11">
        <v>32</v>
      </c>
      <c r="C431" s="13" t="s">
        <v>1581</v>
      </c>
      <c r="D431" s="64" t="s">
        <v>2427</v>
      </c>
      <c r="E431" s="65" t="s">
        <v>2</v>
      </c>
      <c r="F431" s="6" t="s">
        <v>2620</v>
      </c>
      <c r="G431" s="65">
        <v>1</v>
      </c>
      <c r="H431" s="116">
        <v>0</v>
      </c>
      <c r="I431" s="116">
        <v>0</v>
      </c>
      <c r="J431" s="116">
        <v>0</v>
      </c>
      <c r="K431" s="6" t="s">
        <v>2</v>
      </c>
      <c r="L431" s="6" t="s">
        <v>2</v>
      </c>
      <c r="M431" s="6" t="s">
        <v>2</v>
      </c>
      <c r="N431" s="6" t="s">
        <v>17</v>
      </c>
      <c r="O431" s="6" t="s">
        <v>17</v>
      </c>
      <c r="P431" s="6" t="s">
        <v>17</v>
      </c>
      <c r="Q431" s="6" t="s">
        <v>2</v>
      </c>
      <c r="R431" s="6" t="s">
        <v>17</v>
      </c>
      <c r="S431" s="6" t="s">
        <v>17</v>
      </c>
      <c r="T431" s="6" t="s">
        <v>17</v>
      </c>
      <c r="U431" s="6" t="s">
        <v>17</v>
      </c>
      <c r="V431" s="6" t="s">
        <v>17</v>
      </c>
      <c r="W431" s="6" t="s">
        <v>17</v>
      </c>
      <c r="X431" s="6" t="s">
        <v>17</v>
      </c>
      <c r="Y431" s="6" t="s">
        <v>17</v>
      </c>
      <c r="Z431" s="6" t="s">
        <v>17</v>
      </c>
      <c r="AA431" s="6" t="s">
        <v>17</v>
      </c>
      <c r="AB431" s="6" t="s">
        <v>17</v>
      </c>
      <c r="AC431" s="6" t="s">
        <v>17</v>
      </c>
      <c r="AD431" s="6" t="s">
        <v>17</v>
      </c>
      <c r="AE431" s="6" t="s">
        <v>17</v>
      </c>
      <c r="AF431" s="6" t="s">
        <v>17</v>
      </c>
      <c r="AG431" s="6" t="s">
        <v>17</v>
      </c>
      <c r="AH431" s="6" t="s">
        <v>17</v>
      </c>
      <c r="AI431" s="6" t="s">
        <v>17</v>
      </c>
      <c r="AJ431" s="6" t="s">
        <v>17</v>
      </c>
      <c r="AK431" s="6" t="s">
        <v>17</v>
      </c>
      <c r="AL431" s="6" t="s">
        <v>17</v>
      </c>
      <c r="AM431" s="6" t="s">
        <v>17</v>
      </c>
      <c r="AN431" s="6" t="s">
        <v>17</v>
      </c>
      <c r="AO431" s="6" t="s">
        <v>17</v>
      </c>
      <c r="AP431" s="6" t="s">
        <v>17</v>
      </c>
      <c r="AQ431" s="6" t="s">
        <v>17</v>
      </c>
      <c r="AR431" s="6" t="s">
        <v>17</v>
      </c>
    </row>
    <row r="432" spans="1:44" x14ac:dyDescent="0.3">
      <c r="B432" s="11">
        <v>33</v>
      </c>
      <c r="C432" s="13" t="s">
        <v>1582</v>
      </c>
      <c r="D432" s="64" t="s">
        <v>2428</v>
      </c>
      <c r="E432" s="6" t="s">
        <v>17</v>
      </c>
      <c r="F432" s="6" t="s">
        <v>2620</v>
      </c>
      <c r="G432" s="65">
        <v>1</v>
      </c>
      <c r="H432" s="116">
        <v>0</v>
      </c>
      <c r="I432" s="116">
        <v>0</v>
      </c>
      <c r="J432" s="116">
        <v>0</v>
      </c>
      <c r="K432" s="6" t="s">
        <v>17</v>
      </c>
      <c r="L432" s="6" t="s">
        <v>17</v>
      </c>
      <c r="M432" s="6" t="s">
        <v>17</v>
      </c>
      <c r="N432" s="6" t="s">
        <v>17</v>
      </c>
      <c r="O432" s="6" t="s">
        <v>17</v>
      </c>
      <c r="P432" s="6" t="s">
        <v>17</v>
      </c>
      <c r="Q432" s="6" t="s">
        <v>17</v>
      </c>
      <c r="R432" s="6" t="s">
        <v>17</v>
      </c>
      <c r="S432" s="6" t="s">
        <v>17</v>
      </c>
      <c r="T432" s="6" t="s">
        <v>17</v>
      </c>
      <c r="U432" s="6" t="s">
        <v>17</v>
      </c>
      <c r="V432" s="6" t="s">
        <v>17</v>
      </c>
      <c r="W432" s="6" t="s">
        <v>17</v>
      </c>
      <c r="X432" s="6" t="s">
        <v>17</v>
      </c>
      <c r="Y432" s="6" t="s">
        <v>17</v>
      </c>
      <c r="Z432" s="6" t="s">
        <v>17</v>
      </c>
      <c r="AA432" s="6" t="s">
        <v>17</v>
      </c>
      <c r="AB432" s="6" t="s">
        <v>17</v>
      </c>
      <c r="AC432" s="6" t="s">
        <v>17</v>
      </c>
      <c r="AD432" s="6" t="s">
        <v>17</v>
      </c>
      <c r="AE432" s="6" t="s">
        <v>17</v>
      </c>
      <c r="AF432" s="6" t="s">
        <v>17</v>
      </c>
      <c r="AG432" s="6" t="s">
        <v>17</v>
      </c>
      <c r="AH432" s="6" t="s">
        <v>17</v>
      </c>
      <c r="AI432" s="6" t="s">
        <v>17</v>
      </c>
      <c r="AJ432" s="6" t="s">
        <v>17</v>
      </c>
      <c r="AK432" s="6" t="s">
        <v>17</v>
      </c>
      <c r="AL432" s="6" t="s">
        <v>17</v>
      </c>
      <c r="AM432" s="6" t="s">
        <v>17</v>
      </c>
      <c r="AN432" s="6" t="s">
        <v>17</v>
      </c>
      <c r="AO432" s="6" t="s">
        <v>17</v>
      </c>
      <c r="AP432" s="6" t="s">
        <v>17</v>
      </c>
      <c r="AQ432" s="6" t="s">
        <v>17</v>
      </c>
      <c r="AR432" s="6" t="s">
        <v>17</v>
      </c>
    </row>
    <row r="433" spans="2:44" x14ac:dyDescent="0.3">
      <c r="B433" s="11">
        <v>34</v>
      </c>
      <c r="C433" s="13" t="s">
        <v>1583</v>
      </c>
      <c r="D433" s="6" t="s">
        <v>2429</v>
      </c>
      <c r="E433" s="6" t="s">
        <v>17</v>
      </c>
      <c r="F433" s="6" t="s">
        <v>2620</v>
      </c>
      <c r="G433" s="65">
        <v>1</v>
      </c>
      <c r="H433" s="116">
        <v>0</v>
      </c>
      <c r="I433" s="116">
        <v>0</v>
      </c>
      <c r="J433" s="116">
        <v>0</v>
      </c>
      <c r="K433" s="6" t="s">
        <v>17</v>
      </c>
      <c r="L433" s="6" t="s">
        <v>17</v>
      </c>
      <c r="M433" s="6" t="s">
        <v>17</v>
      </c>
      <c r="N433" s="6" t="s">
        <v>17</v>
      </c>
      <c r="O433" s="6" t="s">
        <v>17</v>
      </c>
      <c r="P433" s="6" t="s">
        <v>17</v>
      </c>
      <c r="Q433" s="6" t="s">
        <v>17</v>
      </c>
      <c r="R433" s="6" t="s">
        <v>17</v>
      </c>
      <c r="S433" s="6" t="s">
        <v>17</v>
      </c>
      <c r="T433" s="6" t="s">
        <v>17</v>
      </c>
      <c r="U433" s="6" t="s">
        <v>17</v>
      </c>
      <c r="V433" s="6" t="s">
        <v>17</v>
      </c>
      <c r="W433" s="6" t="s">
        <v>17</v>
      </c>
      <c r="X433" s="6" t="s">
        <v>17</v>
      </c>
      <c r="Y433" s="6" t="s">
        <v>17</v>
      </c>
      <c r="Z433" s="6" t="s">
        <v>17</v>
      </c>
      <c r="AA433" s="6" t="s">
        <v>17</v>
      </c>
      <c r="AB433" s="6" t="s">
        <v>17</v>
      </c>
      <c r="AC433" s="6" t="s">
        <v>17</v>
      </c>
      <c r="AD433" s="6" t="s">
        <v>17</v>
      </c>
      <c r="AE433" s="6" t="s">
        <v>17</v>
      </c>
      <c r="AF433" s="6" t="s">
        <v>17</v>
      </c>
      <c r="AG433" s="6" t="s">
        <v>17</v>
      </c>
      <c r="AH433" s="6" t="s">
        <v>17</v>
      </c>
      <c r="AI433" s="6" t="s">
        <v>17</v>
      </c>
      <c r="AJ433" s="6" t="s">
        <v>17</v>
      </c>
      <c r="AK433" s="6" t="s">
        <v>17</v>
      </c>
      <c r="AL433" s="6" t="s">
        <v>17</v>
      </c>
      <c r="AM433" s="6" t="s">
        <v>17</v>
      </c>
      <c r="AN433" s="6" t="s">
        <v>17</v>
      </c>
      <c r="AO433" s="6" t="s">
        <v>17</v>
      </c>
      <c r="AP433" s="6" t="s">
        <v>17</v>
      </c>
      <c r="AQ433" s="6" t="s">
        <v>17</v>
      </c>
      <c r="AR433" s="6" t="s">
        <v>17</v>
      </c>
    </row>
    <row r="434" spans="2:44" x14ac:dyDescent="0.3">
      <c r="B434" s="11">
        <v>35</v>
      </c>
      <c r="C434" s="13" t="s">
        <v>1585</v>
      </c>
      <c r="D434" s="6" t="s">
        <v>2430</v>
      </c>
      <c r="E434" s="6" t="s">
        <v>17</v>
      </c>
      <c r="F434" s="6" t="s">
        <v>2620</v>
      </c>
      <c r="G434" s="65">
        <v>1</v>
      </c>
      <c r="H434" s="116">
        <v>0</v>
      </c>
      <c r="I434" s="116">
        <v>0</v>
      </c>
      <c r="J434" s="116">
        <v>0</v>
      </c>
      <c r="K434" s="6" t="s">
        <v>17</v>
      </c>
      <c r="L434" s="6" t="s">
        <v>17</v>
      </c>
      <c r="M434" s="6" t="s">
        <v>17</v>
      </c>
      <c r="N434" s="6" t="s">
        <v>17</v>
      </c>
      <c r="O434" s="6" t="s">
        <v>17</v>
      </c>
      <c r="P434" s="6" t="s">
        <v>17</v>
      </c>
      <c r="Q434" s="6" t="s">
        <v>17</v>
      </c>
      <c r="R434" s="6" t="s">
        <v>17</v>
      </c>
      <c r="S434" s="6" t="s">
        <v>17</v>
      </c>
      <c r="T434" s="6" t="s">
        <v>17</v>
      </c>
      <c r="U434" s="6" t="s">
        <v>17</v>
      </c>
      <c r="V434" s="6" t="s">
        <v>17</v>
      </c>
      <c r="W434" s="6" t="s">
        <v>17</v>
      </c>
      <c r="X434" s="6" t="s">
        <v>17</v>
      </c>
      <c r="Y434" s="6" t="s">
        <v>17</v>
      </c>
      <c r="Z434" s="6" t="s">
        <v>17</v>
      </c>
      <c r="AA434" s="6" t="s">
        <v>17</v>
      </c>
      <c r="AB434" s="6" t="s">
        <v>17</v>
      </c>
      <c r="AC434" s="6" t="s">
        <v>17</v>
      </c>
      <c r="AD434" s="6" t="s">
        <v>17</v>
      </c>
      <c r="AE434" s="6" t="s">
        <v>17</v>
      </c>
      <c r="AF434" s="6" t="s">
        <v>17</v>
      </c>
      <c r="AG434" s="6" t="s">
        <v>17</v>
      </c>
      <c r="AH434" s="6" t="s">
        <v>17</v>
      </c>
      <c r="AI434" s="6" t="s">
        <v>17</v>
      </c>
      <c r="AJ434" s="6" t="s">
        <v>17</v>
      </c>
      <c r="AK434" s="6" t="s">
        <v>17</v>
      </c>
      <c r="AL434" s="6" t="s">
        <v>17</v>
      </c>
      <c r="AM434" s="6" t="s">
        <v>17</v>
      </c>
      <c r="AN434" s="6" t="s">
        <v>17</v>
      </c>
      <c r="AO434" s="6" t="s">
        <v>17</v>
      </c>
      <c r="AP434" s="6" t="s">
        <v>17</v>
      </c>
      <c r="AQ434" s="6" t="s">
        <v>17</v>
      </c>
      <c r="AR434" s="6" t="s">
        <v>17</v>
      </c>
    </row>
    <row r="435" spans="2:44" x14ac:dyDescent="0.3">
      <c r="B435" s="11">
        <v>36</v>
      </c>
      <c r="C435" s="13" t="s">
        <v>1558</v>
      </c>
      <c r="D435" s="6" t="s">
        <v>2431</v>
      </c>
      <c r="E435" s="6" t="s">
        <v>17</v>
      </c>
      <c r="F435" s="6" t="s">
        <v>2620</v>
      </c>
      <c r="G435" s="65">
        <v>1</v>
      </c>
      <c r="H435" s="116">
        <v>0</v>
      </c>
      <c r="I435" s="116">
        <v>0</v>
      </c>
      <c r="J435" s="116">
        <v>0</v>
      </c>
      <c r="K435" s="6" t="s">
        <v>17</v>
      </c>
      <c r="L435" s="6" t="s">
        <v>17</v>
      </c>
      <c r="M435" s="6" t="s">
        <v>17</v>
      </c>
      <c r="N435" s="6" t="s">
        <v>17</v>
      </c>
      <c r="O435" s="6" t="s">
        <v>17</v>
      </c>
      <c r="P435" s="6" t="s">
        <v>17</v>
      </c>
      <c r="Q435" s="6" t="s">
        <v>17</v>
      </c>
      <c r="R435" s="6" t="s">
        <v>17</v>
      </c>
      <c r="S435" s="6" t="s">
        <v>17</v>
      </c>
      <c r="T435" s="6" t="s">
        <v>17</v>
      </c>
      <c r="U435" s="6" t="s">
        <v>17</v>
      </c>
      <c r="V435" s="6" t="s">
        <v>17</v>
      </c>
      <c r="W435" s="6" t="s">
        <v>17</v>
      </c>
      <c r="X435" s="6" t="s">
        <v>17</v>
      </c>
      <c r="Y435" s="6" t="s">
        <v>17</v>
      </c>
      <c r="Z435" s="6" t="s">
        <v>17</v>
      </c>
      <c r="AA435" s="6" t="s">
        <v>17</v>
      </c>
      <c r="AB435" s="6" t="s">
        <v>17</v>
      </c>
      <c r="AC435" s="6" t="s">
        <v>17</v>
      </c>
      <c r="AD435" s="6" t="s">
        <v>17</v>
      </c>
      <c r="AE435" s="6" t="s">
        <v>17</v>
      </c>
      <c r="AF435" s="6" t="s">
        <v>17</v>
      </c>
      <c r="AG435" s="6" t="s">
        <v>17</v>
      </c>
      <c r="AH435" s="6" t="s">
        <v>17</v>
      </c>
      <c r="AI435" s="6" t="s">
        <v>17</v>
      </c>
      <c r="AJ435" s="6" t="s">
        <v>17</v>
      </c>
      <c r="AK435" s="6" t="s">
        <v>17</v>
      </c>
      <c r="AL435" s="6" t="s">
        <v>17</v>
      </c>
      <c r="AM435" s="6" t="s">
        <v>17</v>
      </c>
      <c r="AN435" s="6" t="s">
        <v>17</v>
      </c>
      <c r="AO435" s="6" t="s">
        <v>17</v>
      </c>
      <c r="AP435" s="6" t="s">
        <v>17</v>
      </c>
      <c r="AQ435" s="6" t="s">
        <v>17</v>
      </c>
      <c r="AR435" s="6" t="s">
        <v>17</v>
      </c>
    </row>
    <row r="436" spans="2:44" x14ac:dyDescent="0.3">
      <c r="B436" s="11">
        <v>37</v>
      </c>
      <c r="C436" s="13" t="s">
        <v>1559</v>
      </c>
      <c r="D436" s="6" t="s">
        <v>2432</v>
      </c>
      <c r="E436" s="6" t="s">
        <v>17</v>
      </c>
      <c r="F436" s="6" t="s">
        <v>2620</v>
      </c>
      <c r="G436" s="65">
        <v>1</v>
      </c>
      <c r="H436" s="116">
        <v>0</v>
      </c>
      <c r="I436" s="116">
        <v>0</v>
      </c>
      <c r="J436" s="116">
        <v>0</v>
      </c>
      <c r="K436" s="6" t="s">
        <v>17</v>
      </c>
      <c r="L436" s="6" t="s">
        <v>17</v>
      </c>
      <c r="M436" s="6" t="s">
        <v>17</v>
      </c>
      <c r="N436" s="6" t="s">
        <v>17</v>
      </c>
      <c r="O436" s="6" t="s">
        <v>17</v>
      </c>
      <c r="P436" s="6" t="s">
        <v>17</v>
      </c>
      <c r="Q436" s="6" t="s">
        <v>17</v>
      </c>
      <c r="R436" s="6" t="s">
        <v>17</v>
      </c>
      <c r="S436" s="6" t="s">
        <v>17</v>
      </c>
      <c r="T436" s="6" t="s">
        <v>17</v>
      </c>
      <c r="U436" s="6" t="s">
        <v>17</v>
      </c>
      <c r="V436" s="6" t="s">
        <v>17</v>
      </c>
      <c r="W436" s="6" t="s">
        <v>17</v>
      </c>
      <c r="X436" s="6" t="s">
        <v>17</v>
      </c>
      <c r="Y436" s="6" t="s">
        <v>17</v>
      </c>
      <c r="Z436" s="6" t="s">
        <v>17</v>
      </c>
      <c r="AA436" s="6" t="s">
        <v>17</v>
      </c>
      <c r="AB436" s="6" t="s">
        <v>17</v>
      </c>
      <c r="AC436" s="6" t="s">
        <v>17</v>
      </c>
      <c r="AD436" s="6" t="s">
        <v>17</v>
      </c>
      <c r="AE436" s="6" t="s">
        <v>17</v>
      </c>
      <c r="AF436" s="6" t="s">
        <v>17</v>
      </c>
      <c r="AG436" s="6" t="s">
        <v>17</v>
      </c>
      <c r="AH436" s="6" t="s">
        <v>17</v>
      </c>
      <c r="AI436" s="6" t="s">
        <v>17</v>
      </c>
      <c r="AJ436" s="6" t="s">
        <v>17</v>
      </c>
      <c r="AK436" s="6" t="s">
        <v>17</v>
      </c>
      <c r="AL436" s="6" t="s">
        <v>17</v>
      </c>
      <c r="AM436" s="6" t="s">
        <v>17</v>
      </c>
      <c r="AN436" s="6" t="s">
        <v>17</v>
      </c>
      <c r="AO436" s="6" t="s">
        <v>17</v>
      </c>
      <c r="AP436" s="6" t="s">
        <v>17</v>
      </c>
      <c r="AQ436" s="6" t="s">
        <v>17</v>
      </c>
      <c r="AR436" s="6" t="s">
        <v>17</v>
      </c>
    </row>
    <row r="437" spans="2:44" x14ac:dyDescent="0.3">
      <c r="B437" s="11">
        <v>38</v>
      </c>
      <c r="C437" s="13" t="s">
        <v>1589</v>
      </c>
      <c r="D437" s="6" t="s">
        <v>2433</v>
      </c>
      <c r="E437" s="6" t="s">
        <v>17</v>
      </c>
      <c r="F437" s="6" t="s">
        <v>2620</v>
      </c>
      <c r="G437" s="65">
        <v>1</v>
      </c>
      <c r="H437" s="116">
        <v>0</v>
      </c>
      <c r="I437" s="116">
        <v>0</v>
      </c>
      <c r="J437" s="116">
        <v>0</v>
      </c>
      <c r="K437" s="6" t="s">
        <v>17</v>
      </c>
      <c r="L437" s="6" t="s">
        <v>17</v>
      </c>
      <c r="M437" s="6" t="s">
        <v>17</v>
      </c>
      <c r="N437" s="6" t="s">
        <v>17</v>
      </c>
      <c r="O437" s="6" t="s">
        <v>17</v>
      </c>
      <c r="P437" s="6" t="s">
        <v>17</v>
      </c>
      <c r="Q437" s="6" t="s">
        <v>17</v>
      </c>
      <c r="R437" s="6" t="s">
        <v>17</v>
      </c>
      <c r="S437" s="6" t="s">
        <v>17</v>
      </c>
      <c r="T437" s="6" t="s">
        <v>17</v>
      </c>
      <c r="U437" s="6" t="s">
        <v>17</v>
      </c>
      <c r="V437" s="6" t="s">
        <v>17</v>
      </c>
      <c r="W437" s="6" t="s">
        <v>17</v>
      </c>
      <c r="X437" s="6" t="s">
        <v>17</v>
      </c>
      <c r="Y437" s="6" t="s">
        <v>17</v>
      </c>
      <c r="Z437" s="6" t="s">
        <v>17</v>
      </c>
      <c r="AA437" s="6" t="s">
        <v>17</v>
      </c>
      <c r="AB437" s="6" t="s">
        <v>17</v>
      </c>
      <c r="AC437" s="6" t="s">
        <v>17</v>
      </c>
      <c r="AD437" s="6" t="s">
        <v>17</v>
      </c>
      <c r="AE437" s="6" t="s">
        <v>17</v>
      </c>
      <c r="AF437" s="6" t="s">
        <v>17</v>
      </c>
      <c r="AG437" s="6" t="s">
        <v>17</v>
      </c>
      <c r="AH437" s="6" t="s">
        <v>17</v>
      </c>
      <c r="AI437" s="6" t="s">
        <v>17</v>
      </c>
      <c r="AJ437" s="6" t="s">
        <v>17</v>
      </c>
      <c r="AK437" s="6" t="s">
        <v>17</v>
      </c>
      <c r="AL437" s="6" t="s">
        <v>17</v>
      </c>
      <c r="AM437" s="6" t="s">
        <v>17</v>
      </c>
      <c r="AN437" s="6" t="s">
        <v>17</v>
      </c>
      <c r="AO437" s="6" t="s">
        <v>17</v>
      </c>
      <c r="AP437" s="6" t="s">
        <v>17</v>
      </c>
      <c r="AQ437" s="6" t="s">
        <v>17</v>
      </c>
      <c r="AR437" s="6" t="s">
        <v>17</v>
      </c>
    </row>
    <row r="438" spans="2:44" x14ac:dyDescent="0.3">
      <c r="B438" s="11">
        <v>39</v>
      </c>
      <c r="C438" s="13" t="s">
        <v>1591</v>
      </c>
      <c r="D438" s="6" t="s">
        <v>2434</v>
      </c>
      <c r="E438" s="6" t="s">
        <v>17</v>
      </c>
      <c r="F438" s="6" t="s">
        <v>2620</v>
      </c>
      <c r="G438" s="65">
        <v>1</v>
      </c>
      <c r="H438" s="116">
        <v>0</v>
      </c>
      <c r="I438" s="116">
        <v>0</v>
      </c>
      <c r="J438" s="116">
        <v>0</v>
      </c>
      <c r="K438" s="6" t="s">
        <v>17</v>
      </c>
      <c r="L438" s="6" t="s">
        <v>17</v>
      </c>
      <c r="M438" s="6" t="s">
        <v>17</v>
      </c>
      <c r="N438" s="6" t="s">
        <v>17</v>
      </c>
      <c r="O438" s="6" t="s">
        <v>17</v>
      </c>
      <c r="P438" s="6" t="s">
        <v>17</v>
      </c>
      <c r="Q438" s="6" t="s">
        <v>17</v>
      </c>
      <c r="R438" s="6" t="s">
        <v>17</v>
      </c>
      <c r="S438" s="6" t="s">
        <v>17</v>
      </c>
      <c r="T438" s="6" t="s">
        <v>17</v>
      </c>
      <c r="U438" s="6" t="s">
        <v>17</v>
      </c>
      <c r="V438" s="6" t="s">
        <v>17</v>
      </c>
      <c r="W438" s="6" t="s">
        <v>17</v>
      </c>
      <c r="X438" s="6" t="s">
        <v>17</v>
      </c>
      <c r="Y438" s="6" t="s">
        <v>17</v>
      </c>
      <c r="Z438" s="6" t="s">
        <v>17</v>
      </c>
      <c r="AA438" s="6" t="s">
        <v>17</v>
      </c>
      <c r="AB438" s="6" t="s">
        <v>17</v>
      </c>
      <c r="AC438" s="6" t="s">
        <v>17</v>
      </c>
      <c r="AD438" s="6" t="s">
        <v>17</v>
      </c>
      <c r="AE438" s="6" t="s">
        <v>17</v>
      </c>
      <c r="AF438" s="6" t="s">
        <v>17</v>
      </c>
      <c r="AG438" s="6" t="s">
        <v>17</v>
      </c>
      <c r="AH438" s="6" t="s">
        <v>17</v>
      </c>
      <c r="AI438" s="6" t="s">
        <v>17</v>
      </c>
      <c r="AJ438" s="6" t="s">
        <v>17</v>
      </c>
      <c r="AK438" s="6" t="s">
        <v>17</v>
      </c>
      <c r="AL438" s="6" t="s">
        <v>17</v>
      </c>
      <c r="AM438" s="6" t="s">
        <v>17</v>
      </c>
      <c r="AN438" s="6" t="s">
        <v>17</v>
      </c>
      <c r="AO438" s="6" t="s">
        <v>17</v>
      </c>
      <c r="AP438" s="6" t="s">
        <v>17</v>
      </c>
      <c r="AQ438" s="6" t="s">
        <v>17</v>
      </c>
      <c r="AR438" s="6" t="s">
        <v>17</v>
      </c>
    </row>
    <row r="439" spans="2:44" x14ac:dyDescent="0.3">
      <c r="B439" s="11">
        <v>40</v>
      </c>
      <c r="C439" s="13" t="s">
        <v>1593</v>
      </c>
      <c r="D439" s="6" t="s">
        <v>2435</v>
      </c>
      <c r="E439" s="6" t="s">
        <v>17</v>
      </c>
      <c r="F439" s="6" t="s">
        <v>2620</v>
      </c>
      <c r="G439" s="65">
        <v>1</v>
      </c>
      <c r="H439" s="116">
        <v>0</v>
      </c>
      <c r="I439" s="116">
        <v>0</v>
      </c>
      <c r="J439" s="116">
        <v>0</v>
      </c>
      <c r="K439" s="6" t="s">
        <v>17</v>
      </c>
      <c r="L439" s="6" t="s">
        <v>17</v>
      </c>
      <c r="M439" s="6" t="s">
        <v>17</v>
      </c>
      <c r="N439" s="6" t="s">
        <v>17</v>
      </c>
      <c r="O439" s="6" t="s">
        <v>17</v>
      </c>
      <c r="P439" s="6" t="s">
        <v>17</v>
      </c>
      <c r="Q439" s="6" t="s">
        <v>17</v>
      </c>
      <c r="R439" s="6" t="s">
        <v>17</v>
      </c>
      <c r="S439" s="6" t="s">
        <v>17</v>
      </c>
      <c r="T439" s="6" t="s">
        <v>17</v>
      </c>
      <c r="U439" s="6" t="s">
        <v>17</v>
      </c>
      <c r="V439" s="6" t="s">
        <v>17</v>
      </c>
      <c r="W439" s="6" t="s">
        <v>17</v>
      </c>
      <c r="X439" s="6" t="s">
        <v>17</v>
      </c>
      <c r="Y439" s="6" t="s">
        <v>17</v>
      </c>
      <c r="Z439" s="6" t="s">
        <v>17</v>
      </c>
      <c r="AA439" s="6" t="s">
        <v>17</v>
      </c>
      <c r="AB439" s="6" t="s">
        <v>17</v>
      </c>
      <c r="AC439" s="6" t="s">
        <v>17</v>
      </c>
      <c r="AD439" s="6" t="s">
        <v>17</v>
      </c>
      <c r="AE439" s="6" t="s">
        <v>17</v>
      </c>
      <c r="AF439" s="6" t="s">
        <v>17</v>
      </c>
      <c r="AG439" s="6" t="s">
        <v>17</v>
      </c>
      <c r="AH439" s="6" t="s">
        <v>17</v>
      </c>
      <c r="AI439" s="6" t="s">
        <v>17</v>
      </c>
      <c r="AJ439" s="6" t="s">
        <v>17</v>
      </c>
      <c r="AK439" s="6" t="s">
        <v>17</v>
      </c>
      <c r="AL439" s="6" t="s">
        <v>17</v>
      </c>
      <c r="AM439" s="6" t="s">
        <v>17</v>
      </c>
      <c r="AN439" s="6" t="s">
        <v>17</v>
      </c>
      <c r="AO439" s="6" t="s">
        <v>17</v>
      </c>
      <c r="AP439" s="6" t="s">
        <v>17</v>
      </c>
      <c r="AQ439" s="6" t="s">
        <v>17</v>
      </c>
      <c r="AR439" s="6" t="s">
        <v>17</v>
      </c>
    </row>
    <row r="440" spans="2:44" x14ac:dyDescent="0.3">
      <c r="B440" s="11">
        <v>41</v>
      </c>
      <c r="C440" s="13" t="s">
        <v>1595</v>
      </c>
      <c r="D440" s="6" t="s">
        <v>2436</v>
      </c>
      <c r="E440" s="6" t="s">
        <v>17</v>
      </c>
      <c r="F440" s="6" t="s">
        <v>2620</v>
      </c>
      <c r="G440" s="65">
        <v>1</v>
      </c>
      <c r="H440" s="116">
        <v>0</v>
      </c>
      <c r="I440" s="116">
        <v>0</v>
      </c>
      <c r="J440" s="116">
        <v>0</v>
      </c>
      <c r="K440" s="6" t="s">
        <v>17</v>
      </c>
      <c r="L440" s="6" t="s">
        <v>17</v>
      </c>
      <c r="M440" s="6" t="s">
        <v>17</v>
      </c>
      <c r="N440" s="6" t="s">
        <v>17</v>
      </c>
      <c r="O440" s="6" t="s">
        <v>17</v>
      </c>
      <c r="P440" s="6" t="s">
        <v>17</v>
      </c>
      <c r="Q440" s="6" t="s">
        <v>17</v>
      </c>
      <c r="R440" s="6" t="s">
        <v>17</v>
      </c>
      <c r="S440" s="6" t="s">
        <v>17</v>
      </c>
      <c r="T440" s="6" t="s">
        <v>17</v>
      </c>
      <c r="U440" s="6" t="s">
        <v>17</v>
      </c>
      <c r="V440" s="6" t="s">
        <v>17</v>
      </c>
      <c r="W440" s="6" t="s">
        <v>17</v>
      </c>
      <c r="X440" s="6" t="s">
        <v>17</v>
      </c>
      <c r="Y440" s="6" t="s">
        <v>17</v>
      </c>
      <c r="Z440" s="6" t="s">
        <v>17</v>
      </c>
      <c r="AA440" s="6" t="s">
        <v>17</v>
      </c>
      <c r="AB440" s="6" t="s">
        <v>17</v>
      </c>
      <c r="AC440" s="6" t="s">
        <v>17</v>
      </c>
      <c r="AD440" s="6" t="s">
        <v>17</v>
      </c>
      <c r="AE440" s="6" t="s">
        <v>17</v>
      </c>
      <c r="AF440" s="6" t="s">
        <v>17</v>
      </c>
      <c r="AG440" s="6" t="s">
        <v>17</v>
      </c>
      <c r="AH440" s="6" t="s">
        <v>17</v>
      </c>
      <c r="AI440" s="6" t="s">
        <v>17</v>
      </c>
      <c r="AJ440" s="6" t="s">
        <v>17</v>
      </c>
      <c r="AK440" s="6" t="s">
        <v>17</v>
      </c>
      <c r="AL440" s="6" t="s">
        <v>17</v>
      </c>
      <c r="AM440" s="6" t="s">
        <v>17</v>
      </c>
      <c r="AN440" s="6" t="s">
        <v>17</v>
      </c>
      <c r="AO440" s="6" t="s">
        <v>17</v>
      </c>
      <c r="AP440" s="6" t="s">
        <v>17</v>
      </c>
      <c r="AQ440" s="6" t="s">
        <v>17</v>
      </c>
      <c r="AR440" s="6" t="s">
        <v>17</v>
      </c>
    </row>
    <row r="441" spans="2:44" x14ac:dyDescent="0.3">
      <c r="B441" s="11">
        <v>42</v>
      </c>
      <c r="C441" s="13" t="s">
        <v>1597</v>
      </c>
      <c r="D441" s="6" t="s">
        <v>2437</v>
      </c>
      <c r="E441" s="6" t="s">
        <v>17</v>
      </c>
      <c r="F441" s="6" t="s">
        <v>2620</v>
      </c>
      <c r="G441" s="6">
        <v>1</v>
      </c>
      <c r="H441" s="116">
        <v>0</v>
      </c>
      <c r="I441" s="116">
        <v>0</v>
      </c>
      <c r="J441" s="116">
        <v>0</v>
      </c>
      <c r="K441" s="6" t="s">
        <v>17</v>
      </c>
      <c r="L441" s="6" t="s">
        <v>17</v>
      </c>
      <c r="M441" s="6" t="s">
        <v>17</v>
      </c>
      <c r="N441" s="6" t="s">
        <v>17</v>
      </c>
      <c r="O441" s="6" t="s">
        <v>17</v>
      </c>
      <c r="P441" s="6" t="s">
        <v>17</v>
      </c>
      <c r="Q441" s="6" t="s">
        <v>17</v>
      </c>
      <c r="R441" s="6" t="s">
        <v>17</v>
      </c>
      <c r="S441" s="6" t="s">
        <v>17</v>
      </c>
      <c r="T441" s="6" t="s">
        <v>17</v>
      </c>
      <c r="U441" s="6" t="s">
        <v>17</v>
      </c>
      <c r="V441" s="6" t="s">
        <v>17</v>
      </c>
      <c r="W441" s="6" t="s">
        <v>17</v>
      </c>
      <c r="X441" s="6" t="s">
        <v>17</v>
      </c>
      <c r="Y441" s="6" t="s">
        <v>17</v>
      </c>
      <c r="Z441" s="6" t="s">
        <v>17</v>
      </c>
      <c r="AA441" s="6" t="s">
        <v>17</v>
      </c>
      <c r="AB441" s="6" t="s">
        <v>17</v>
      </c>
      <c r="AC441" s="6" t="s">
        <v>17</v>
      </c>
      <c r="AD441" s="6" t="s">
        <v>17</v>
      </c>
      <c r="AE441" s="6" t="s">
        <v>17</v>
      </c>
      <c r="AF441" s="6" t="s">
        <v>17</v>
      </c>
      <c r="AG441" s="6" t="s">
        <v>17</v>
      </c>
      <c r="AH441" s="6" t="s">
        <v>17</v>
      </c>
      <c r="AI441" s="6" t="s">
        <v>17</v>
      </c>
      <c r="AJ441" s="6" t="s">
        <v>17</v>
      </c>
      <c r="AK441" s="6" t="s">
        <v>17</v>
      </c>
      <c r="AL441" s="6" t="s">
        <v>17</v>
      </c>
      <c r="AM441" s="6" t="s">
        <v>17</v>
      </c>
      <c r="AN441" s="6" t="s">
        <v>17</v>
      </c>
      <c r="AO441" s="6" t="s">
        <v>17</v>
      </c>
      <c r="AP441" s="6" t="s">
        <v>17</v>
      </c>
      <c r="AQ441" s="6" t="s">
        <v>17</v>
      </c>
      <c r="AR441" s="6" t="s">
        <v>17</v>
      </c>
    </row>
    <row r="442" spans="2:44" x14ac:dyDescent="0.3">
      <c r="B442" s="11">
        <v>43</v>
      </c>
      <c r="C442" s="13" t="s">
        <v>60</v>
      </c>
      <c r="D442" s="6" t="s">
        <v>2438</v>
      </c>
      <c r="E442" s="6" t="s">
        <v>17</v>
      </c>
      <c r="F442" s="6" t="s">
        <v>2620</v>
      </c>
      <c r="G442" s="6">
        <v>1</v>
      </c>
      <c r="H442" s="116">
        <v>0</v>
      </c>
      <c r="I442" s="116">
        <v>0</v>
      </c>
      <c r="J442" s="116">
        <v>0</v>
      </c>
      <c r="K442" s="6" t="s">
        <v>17</v>
      </c>
      <c r="L442" s="6" t="s">
        <v>17</v>
      </c>
      <c r="M442" s="6" t="s">
        <v>17</v>
      </c>
      <c r="N442" s="6" t="s">
        <v>17</v>
      </c>
      <c r="O442" s="6" t="s">
        <v>17</v>
      </c>
      <c r="P442" s="6" t="s">
        <v>17</v>
      </c>
      <c r="Q442" s="6" t="s">
        <v>17</v>
      </c>
      <c r="R442" s="6" t="s">
        <v>17</v>
      </c>
      <c r="S442" s="6" t="s">
        <v>17</v>
      </c>
      <c r="T442" s="6" t="s">
        <v>17</v>
      </c>
      <c r="U442" s="6" t="s">
        <v>17</v>
      </c>
      <c r="V442" s="6" t="s">
        <v>17</v>
      </c>
      <c r="W442" s="6" t="s">
        <v>17</v>
      </c>
      <c r="X442" s="6" t="s">
        <v>17</v>
      </c>
      <c r="Y442" s="6" t="s">
        <v>17</v>
      </c>
      <c r="Z442" s="6" t="s">
        <v>17</v>
      </c>
      <c r="AA442" s="6" t="s">
        <v>17</v>
      </c>
      <c r="AB442" s="6" t="s">
        <v>17</v>
      </c>
      <c r="AC442" s="6" t="s">
        <v>17</v>
      </c>
      <c r="AD442" s="6" t="s">
        <v>17</v>
      </c>
      <c r="AE442" s="6" t="s">
        <v>17</v>
      </c>
      <c r="AF442" s="6" t="s">
        <v>17</v>
      </c>
      <c r="AG442" s="6" t="s">
        <v>17</v>
      </c>
      <c r="AH442" s="6" t="s">
        <v>17</v>
      </c>
      <c r="AI442" s="6" t="s">
        <v>17</v>
      </c>
      <c r="AJ442" s="6" t="s">
        <v>17</v>
      </c>
      <c r="AK442" s="6" t="s">
        <v>17</v>
      </c>
      <c r="AL442" s="6" t="s">
        <v>17</v>
      </c>
      <c r="AM442" s="6" t="s">
        <v>17</v>
      </c>
      <c r="AN442" s="6" t="s">
        <v>17</v>
      </c>
      <c r="AO442" s="6" t="s">
        <v>17</v>
      </c>
      <c r="AP442" s="6" t="s">
        <v>17</v>
      </c>
      <c r="AQ442" s="6" t="s">
        <v>17</v>
      </c>
      <c r="AR442" s="6" t="s">
        <v>17</v>
      </c>
    </row>
    <row r="443" spans="2:44" x14ac:dyDescent="0.3">
      <c r="B443" s="11">
        <v>44</v>
      </c>
      <c r="C443" s="13" t="s">
        <v>61</v>
      </c>
      <c r="D443" s="6" t="s">
        <v>2439</v>
      </c>
      <c r="E443" s="6" t="s">
        <v>17</v>
      </c>
      <c r="F443" s="6" t="s">
        <v>2620</v>
      </c>
      <c r="G443" s="6">
        <v>1</v>
      </c>
      <c r="H443" s="116">
        <v>0</v>
      </c>
      <c r="I443" s="116">
        <v>0</v>
      </c>
      <c r="J443" s="116">
        <v>0</v>
      </c>
      <c r="K443" s="6" t="s">
        <v>17</v>
      </c>
      <c r="L443" s="6" t="s">
        <v>17</v>
      </c>
      <c r="M443" s="6" t="s">
        <v>17</v>
      </c>
      <c r="N443" s="6" t="s">
        <v>17</v>
      </c>
      <c r="O443" s="6" t="s">
        <v>17</v>
      </c>
      <c r="P443" s="6" t="s">
        <v>17</v>
      </c>
      <c r="Q443" s="6" t="s">
        <v>17</v>
      </c>
      <c r="R443" s="6" t="s">
        <v>17</v>
      </c>
      <c r="S443" s="6" t="s">
        <v>17</v>
      </c>
      <c r="T443" s="6" t="s">
        <v>17</v>
      </c>
      <c r="U443" s="6" t="s">
        <v>17</v>
      </c>
      <c r="V443" s="6" t="s">
        <v>17</v>
      </c>
      <c r="W443" s="6" t="s">
        <v>17</v>
      </c>
      <c r="X443" s="6" t="s">
        <v>17</v>
      </c>
      <c r="Y443" s="6" t="s">
        <v>17</v>
      </c>
      <c r="Z443" s="6" t="s">
        <v>17</v>
      </c>
      <c r="AA443" s="6" t="s">
        <v>17</v>
      </c>
      <c r="AB443" s="6" t="s">
        <v>17</v>
      </c>
      <c r="AC443" s="6" t="s">
        <v>17</v>
      </c>
      <c r="AD443" s="6" t="s">
        <v>17</v>
      </c>
      <c r="AE443" s="6" t="s">
        <v>17</v>
      </c>
      <c r="AF443" s="6" t="s">
        <v>17</v>
      </c>
      <c r="AG443" s="6" t="s">
        <v>17</v>
      </c>
      <c r="AH443" s="6" t="s">
        <v>17</v>
      </c>
      <c r="AI443" s="6" t="s">
        <v>17</v>
      </c>
      <c r="AJ443" s="6" t="s">
        <v>17</v>
      </c>
      <c r="AK443" s="6" t="s">
        <v>17</v>
      </c>
      <c r="AL443" s="6" t="s">
        <v>17</v>
      </c>
      <c r="AM443" s="6" t="s">
        <v>17</v>
      </c>
      <c r="AN443" s="6" t="s">
        <v>17</v>
      </c>
      <c r="AO443" s="6" t="s">
        <v>17</v>
      </c>
      <c r="AP443" s="6" t="s">
        <v>17</v>
      </c>
      <c r="AQ443" s="6" t="s">
        <v>17</v>
      </c>
      <c r="AR443" s="6" t="s">
        <v>17</v>
      </c>
    </row>
    <row r="444" spans="2:44" x14ac:dyDescent="0.3">
      <c r="B444" s="11">
        <v>45</v>
      </c>
      <c r="C444" s="13" t="s">
        <v>62</v>
      </c>
      <c r="D444" s="6" t="s">
        <v>2440</v>
      </c>
      <c r="E444" s="6" t="s">
        <v>17</v>
      </c>
      <c r="F444" s="6" t="s">
        <v>2620</v>
      </c>
      <c r="G444" s="6">
        <v>1</v>
      </c>
      <c r="H444" s="116">
        <v>0</v>
      </c>
      <c r="I444" s="116">
        <v>0</v>
      </c>
      <c r="J444" s="116">
        <v>0</v>
      </c>
      <c r="K444" s="6" t="s">
        <v>17</v>
      </c>
      <c r="L444" s="6" t="s">
        <v>17</v>
      </c>
      <c r="M444" s="6" t="s">
        <v>17</v>
      </c>
      <c r="N444" s="6" t="s">
        <v>17</v>
      </c>
      <c r="O444" s="6" t="s">
        <v>17</v>
      </c>
      <c r="P444" s="6" t="s">
        <v>17</v>
      </c>
      <c r="Q444" s="6" t="s">
        <v>17</v>
      </c>
      <c r="R444" s="6" t="s">
        <v>17</v>
      </c>
      <c r="S444" s="6" t="s">
        <v>17</v>
      </c>
      <c r="T444" s="6" t="s">
        <v>17</v>
      </c>
      <c r="U444" s="6" t="s">
        <v>17</v>
      </c>
      <c r="V444" s="6" t="s">
        <v>17</v>
      </c>
      <c r="W444" s="6" t="s">
        <v>17</v>
      </c>
      <c r="X444" s="6" t="s">
        <v>17</v>
      </c>
      <c r="Y444" s="6" t="s">
        <v>17</v>
      </c>
      <c r="Z444" s="6" t="s">
        <v>17</v>
      </c>
      <c r="AA444" s="6" t="s">
        <v>17</v>
      </c>
      <c r="AB444" s="6" t="s">
        <v>17</v>
      </c>
      <c r="AC444" s="6" t="s">
        <v>17</v>
      </c>
      <c r="AD444" s="6" t="s">
        <v>17</v>
      </c>
      <c r="AE444" s="6" t="s">
        <v>17</v>
      </c>
      <c r="AF444" s="6" t="s">
        <v>17</v>
      </c>
      <c r="AG444" s="6" t="s">
        <v>17</v>
      </c>
      <c r="AH444" s="6" t="s">
        <v>17</v>
      </c>
      <c r="AI444" s="6" t="s">
        <v>17</v>
      </c>
      <c r="AJ444" s="6" t="s">
        <v>17</v>
      </c>
      <c r="AK444" s="6" t="s">
        <v>17</v>
      </c>
      <c r="AL444" s="6" t="s">
        <v>17</v>
      </c>
      <c r="AM444" s="6" t="s">
        <v>17</v>
      </c>
      <c r="AN444" s="6" t="s">
        <v>17</v>
      </c>
      <c r="AO444" s="6" t="s">
        <v>17</v>
      </c>
      <c r="AP444" s="6" t="s">
        <v>17</v>
      </c>
      <c r="AQ444" s="6" t="s">
        <v>17</v>
      </c>
      <c r="AR444" s="6" t="s">
        <v>17</v>
      </c>
    </row>
    <row r="445" spans="2:44" x14ac:dyDescent="0.3">
      <c r="B445" s="11">
        <v>46</v>
      </c>
      <c r="C445" s="13" t="s">
        <v>63</v>
      </c>
      <c r="D445" s="6" t="s">
        <v>2441</v>
      </c>
      <c r="E445" s="6" t="s">
        <v>17</v>
      </c>
      <c r="F445" s="6" t="s">
        <v>2620</v>
      </c>
      <c r="G445" s="6">
        <v>1</v>
      </c>
      <c r="H445" s="116">
        <v>0</v>
      </c>
      <c r="I445" s="116">
        <v>0</v>
      </c>
      <c r="J445" s="116">
        <v>0</v>
      </c>
      <c r="K445" s="6" t="s">
        <v>17</v>
      </c>
      <c r="L445" s="6" t="s">
        <v>17</v>
      </c>
      <c r="M445" s="6" t="s">
        <v>17</v>
      </c>
      <c r="N445" s="6" t="s">
        <v>17</v>
      </c>
      <c r="O445" s="6" t="s">
        <v>17</v>
      </c>
      <c r="P445" s="6" t="s">
        <v>17</v>
      </c>
      <c r="Q445" s="6" t="s">
        <v>17</v>
      </c>
      <c r="R445" s="6" t="s">
        <v>17</v>
      </c>
      <c r="S445" s="6" t="s">
        <v>17</v>
      </c>
      <c r="T445" s="6" t="s">
        <v>17</v>
      </c>
      <c r="U445" s="6" t="s">
        <v>17</v>
      </c>
      <c r="V445" s="6" t="s">
        <v>17</v>
      </c>
      <c r="W445" s="6" t="s">
        <v>17</v>
      </c>
      <c r="X445" s="6" t="s">
        <v>17</v>
      </c>
      <c r="Y445" s="6" t="s">
        <v>17</v>
      </c>
      <c r="Z445" s="6" t="s">
        <v>17</v>
      </c>
      <c r="AA445" s="6" t="s">
        <v>17</v>
      </c>
      <c r="AB445" s="6" t="s">
        <v>17</v>
      </c>
      <c r="AC445" s="6" t="s">
        <v>17</v>
      </c>
      <c r="AD445" s="6" t="s">
        <v>17</v>
      </c>
      <c r="AE445" s="6" t="s">
        <v>17</v>
      </c>
      <c r="AF445" s="6" t="s">
        <v>17</v>
      </c>
      <c r="AG445" s="6" t="s">
        <v>17</v>
      </c>
      <c r="AH445" s="6" t="s">
        <v>17</v>
      </c>
      <c r="AI445" s="6" t="s">
        <v>17</v>
      </c>
      <c r="AJ445" s="6" t="s">
        <v>17</v>
      </c>
      <c r="AK445" s="6" t="s">
        <v>17</v>
      </c>
      <c r="AL445" s="6" t="s">
        <v>17</v>
      </c>
      <c r="AM445" s="6" t="s">
        <v>17</v>
      </c>
      <c r="AN445" s="6" t="s">
        <v>17</v>
      </c>
      <c r="AO445" s="6" t="s">
        <v>17</v>
      </c>
      <c r="AP445" s="6" t="s">
        <v>17</v>
      </c>
      <c r="AQ445" s="6" t="s">
        <v>17</v>
      </c>
      <c r="AR445" s="6" t="s">
        <v>17</v>
      </c>
    </row>
    <row r="446" spans="2:44" x14ac:dyDescent="0.3">
      <c r="B446" s="11">
        <v>47</v>
      </c>
      <c r="C446" s="13" t="s">
        <v>64</v>
      </c>
      <c r="D446" s="6" t="s">
        <v>2442</v>
      </c>
      <c r="E446" s="6" t="s">
        <v>17</v>
      </c>
      <c r="F446" s="6" t="s">
        <v>2620</v>
      </c>
      <c r="G446" s="6">
        <v>1</v>
      </c>
      <c r="H446" s="116">
        <v>0</v>
      </c>
      <c r="I446" s="116">
        <v>0</v>
      </c>
      <c r="J446" s="116">
        <v>0</v>
      </c>
      <c r="K446" s="6" t="s">
        <v>17</v>
      </c>
      <c r="L446" s="6" t="s">
        <v>17</v>
      </c>
      <c r="M446" s="6" t="s">
        <v>17</v>
      </c>
      <c r="N446" s="6" t="s">
        <v>17</v>
      </c>
      <c r="O446" s="6" t="s">
        <v>17</v>
      </c>
      <c r="P446" s="6" t="s">
        <v>17</v>
      </c>
      <c r="Q446" s="6" t="s">
        <v>17</v>
      </c>
      <c r="R446" s="6" t="s">
        <v>17</v>
      </c>
      <c r="S446" s="6" t="s">
        <v>17</v>
      </c>
      <c r="T446" s="6" t="s">
        <v>17</v>
      </c>
      <c r="U446" s="6" t="s">
        <v>17</v>
      </c>
      <c r="V446" s="6" t="s">
        <v>17</v>
      </c>
      <c r="W446" s="6" t="s">
        <v>17</v>
      </c>
      <c r="X446" s="6" t="s">
        <v>17</v>
      </c>
      <c r="Y446" s="6" t="s">
        <v>17</v>
      </c>
      <c r="Z446" s="6" t="s">
        <v>17</v>
      </c>
      <c r="AA446" s="6" t="s">
        <v>17</v>
      </c>
      <c r="AB446" s="6" t="s">
        <v>17</v>
      </c>
      <c r="AC446" s="6" t="s">
        <v>17</v>
      </c>
      <c r="AD446" s="6" t="s">
        <v>17</v>
      </c>
      <c r="AE446" s="6" t="s">
        <v>17</v>
      </c>
      <c r="AF446" s="6" t="s">
        <v>17</v>
      </c>
      <c r="AG446" s="6" t="s">
        <v>17</v>
      </c>
      <c r="AH446" s="6" t="s">
        <v>17</v>
      </c>
      <c r="AI446" s="6" t="s">
        <v>17</v>
      </c>
      <c r="AJ446" s="6" t="s">
        <v>17</v>
      </c>
      <c r="AK446" s="6" t="s">
        <v>17</v>
      </c>
      <c r="AL446" s="6" t="s">
        <v>17</v>
      </c>
      <c r="AM446" s="6" t="s">
        <v>17</v>
      </c>
      <c r="AN446" s="6" t="s">
        <v>17</v>
      </c>
      <c r="AO446" s="6" t="s">
        <v>17</v>
      </c>
      <c r="AP446" s="6" t="s">
        <v>17</v>
      </c>
      <c r="AQ446" s="6" t="s">
        <v>17</v>
      </c>
      <c r="AR446" s="6" t="s">
        <v>17</v>
      </c>
    </row>
    <row r="447" spans="2:44" x14ac:dyDescent="0.3">
      <c r="B447" s="11">
        <v>48</v>
      </c>
      <c r="C447" s="13" t="s">
        <v>65</v>
      </c>
      <c r="D447" s="6" t="s">
        <v>2443</v>
      </c>
      <c r="E447" s="6" t="s">
        <v>17</v>
      </c>
      <c r="F447" s="6" t="s">
        <v>2620</v>
      </c>
      <c r="G447" s="6">
        <v>1</v>
      </c>
      <c r="H447" s="116">
        <v>0</v>
      </c>
      <c r="I447" s="116">
        <v>0</v>
      </c>
      <c r="J447" s="116">
        <v>0</v>
      </c>
      <c r="K447" s="6" t="s">
        <v>17</v>
      </c>
      <c r="L447" s="6" t="s">
        <v>17</v>
      </c>
      <c r="M447" s="6" t="s">
        <v>17</v>
      </c>
      <c r="N447" s="6" t="s">
        <v>17</v>
      </c>
      <c r="O447" s="6" t="s">
        <v>17</v>
      </c>
      <c r="P447" s="6" t="s">
        <v>17</v>
      </c>
      <c r="Q447" s="6" t="s">
        <v>17</v>
      </c>
      <c r="R447" s="6" t="s">
        <v>17</v>
      </c>
      <c r="S447" s="6" t="s">
        <v>17</v>
      </c>
      <c r="T447" s="6" t="s">
        <v>17</v>
      </c>
      <c r="U447" s="6" t="s">
        <v>17</v>
      </c>
      <c r="V447" s="6" t="s">
        <v>17</v>
      </c>
      <c r="W447" s="6" t="s">
        <v>17</v>
      </c>
      <c r="X447" s="6" t="s">
        <v>17</v>
      </c>
      <c r="Y447" s="6" t="s">
        <v>17</v>
      </c>
      <c r="Z447" s="6" t="s">
        <v>17</v>
      </c>
      <c r="AA447" s="6" t="s">
        <v>17</v>
      </c>
      <c r="AB447" s="6" t="s">
        <v>17</v>
      </c>
      <c r="AC447" s="6" t="s">
        <v>17</v>
      </c>
      <c r="AD447" s="6" t="s">
        <v>17</v>
      </c>
      <c r="AE447" s="6" t="s">
        <v>17</v>
      </c>
      <c r="AF447" s="6" t="s">
        <v>17</v>
      </c>
      <c r="AG447" s="6" t="s">
        <v>17</v>
      </c>
      <c r="AH447" s="6" t="s">
        <v>17</v>
      </c>
      <c r="AI447" s="6" t="s">
        <v>17</v>
      </c>
      <c r="AJ447" s="6" t="s">
        <v>17</v>
      </c>
      <c r="AK447" s="6" t="s">
        <v>17</v>
      </c>
      <c r="AL447" s="6" t="s">
        <v>17</v>
      </c>
      <c r="AM447" s="6" t="s">
        <v>17</v>
      </c>
      <c r="AN447" s="6" t="s">
        <v>17</v>
      </c>
      <c r="AO447" s="6" t="s">
        <v>17</v>
      </c>
      <c r="AP447" s="6" t="s">
        <v>17</v>
      </c>
      <c r="AQ447" s="6" t="s">
        <v>17</v>
      </c>
      <c r="AR447" s="6" t="s">
        <v>17</v>
      </c>
    </row>
    <row r="448" spans="2:44" x14ac:dyDescent="0.3">
      <c r="B448" s="11">
        <v>49</v>
      </c>
      <c r="C448" s="13" t="s">
        <v>66</v>
      </c>
      <c r="D448" s="6" t="s">
        <v>2444</v>
      </c>
      <c r="E448" s="6" t="s">
        <v>17</v>
      </c>
      <c r="F448" s="6" t="s">
        <v>2620</v>
      </c>
      <c r="G448" s="6">
        <v>1</v>
      </c>
      <c r="H448" s="116">
        <v>0</v>
      </c>
      <c r="I448" s="116">
        <v>0</v>
      </c>
      <c r="J448" s="116">
        <v>0</v>
      </c>
      <c r="K448" s="6" t="s">
        <v>17</v>
      </c>
      <c r="L448" s="6" t="s">
        <v>17</v>
      </c>
      <c r="M448" s="6" t="s">
        <v>17</v>
      </c>
      <c r="N448" s="6" t="s">
        <v>17</v>
      </c>
      <c r="O448" s="6" t="s">
        <v>17</v>
      </c>
      <c r="P448" s="6" t="s">
        <v>17</v>
      </c>
      <c r="Q448" s="6" t="s">
        <v>17</v>
      </c>
      <c r="R448" s="6" t="s">
        <v>17</v>
      </c>
      <c r="S448" s="6" t="s">
        <v>17</v>
      </c>
      <c r="T448" s="6" t="s">
        <v>17</v>
      </c>
      <c r="U448" s="6" t="s">
        <v>17</v>
      </c>
      <c r="V448" s="6" t="s">
        <v>17</v>
      </c>
      <c r="W448" s="6" t="s">
        <v>17</v>
      </c>
      <c r="X448" s="6" t="s">
        <v>17</v>
      </c>
      <c r="Y448" s="6" t="s">
        <v>17</v>
      </c>
      <c r="Z448" s="6" t="s">
        <v>17</v>
      </c>
      <c r="AA448" s="6" t="s">
        <v>17</v>
      </c>
      <c r="AB448" s="6" t="s">
        <v>17</v>
      </c>
      <c r="AC448" s="6" t="s">
        <v>17</v>
      </c>
      <c r="AD448" s="6" t="s">
        <v>17</v>
      </c>
      <c r="AE448" s="6" t="s">
        <v>17</v>
      </c>
      <c r="AF448" s="6" t="s">
        <v>17</v>
      </c>
      <c r="AG448" s="6" t="s">
        <v>17</v>
      </c>
      <c r="AH448" s="6" t="s">
        <v>17</v>
      </c>
      <c r="AI448" s="6" t="s">
        <v>17</v>
      </c>
      <c r="AJ448" s="6" t="s">
        <v>17</v>
      </c>
      <c r="AK448" s="6" t="s">
        <v>17</v>
      </c>
      <c r="AL448" s="6" t="s">
        <v>17</v>
      </c>
      <c r="AM448" s="6" t="s">
        <v>17</v>
      </c>
      <c r="AN448" s="6" t="s">
        <v>17</v>
      </c>
      <c r="AO448" s="6" t="s">
        <v>17</v>
      </c>
      <c r="AP448" s="6" t="s">
        <v>17</v>
      </c>
      <c r="AQ448" s="6" t="s">
        <v>17</v>
      </c>
      <c r="AR448" s="6" t="s">
        <v>17</v>
      </c>
    </row>
    <row r="449" spans="2:44" x14ac:dyDescent="0.3">
      <c r="B449" s="11">
        <v>50</v>
      </c>
      <c r="C449" s="13" t="s">
        <v>67</v>
      </c>
      <c r="D449" s="6" t="s">
        <v>2445</v>
      </c>
      <c r="E449" s="6" t="s">
        <v>17</v>
      </c>
      <c r="F449" s="6" t="s">
        <v>2620</v>
      </c>
      <c r="G449" s="6">
        <v>1</v>
      </c>
      <c r="H449" s="116">
        <v>0</v>
      </c>
      <c r="I449" s="116">
        <v>0</v>
      </c>
      <c r="J449" s="116">
        <v>0</v>
      </c>
      <c r="K449" s="6" t="s">
        <v>17</v>
      </c>
      <c r="L449" s="6" t="s">
        <v>17</v>
      </c>
      <c r="M449" s="6" t="s">
        <v>17</v>
      </c>
      <c r="N449" s="6" t="s">
        <v>17</v>
      </c>
      <c r="O449" s="6" t="s">
        <v>17</v>
      </c>
      <c r="P449" s="6" t="s">
        <v>17</v>
      </c>
      <c r="Q449" s="6" t="s">
        <v>17</v>
      </c>
      <c r="R449" s="6" t="s">
        <v>17</v>
      </c>
      <c r="S449" s="6" t="s">
        <v>17</v>
      </c>
      <c r="T449" s="6" t="s">
        <v>17</v>
      </c>
      <c r="U449" s="6" t="s">
        <v>17</v>
      </c>
      <c r="V449" s="6" t="s">
        <v>17</v>
      </c>
      <c r="W449" s="6" t="s">
        <v>17</v>
      </c>
      <c r="X449" s="6" t="s">
        <v>17</v>
      </c>
      <c r="Y449" s="6" t="s">
        <v>17</v>
      </c>
      <c r="Z449" s="6" t="s">
        <v>17</v>
      </c>
      <c r="AA449" s="6" t="s">
        <v>17</v>
      </c>
      <c r="AB449" s="6" t="s">
        <v>17</v>
      </c>
      <c r="AC449" s="6" t="s">
        <v>17</v>
      </c>
      <c r="AD449" s="6" t="s">
        <v>17</v>
      </c>
      <c r="AE449" s="6" t="s">
        <v>17</v>
      </c>
      <c r="AF449" s="6" t="s">
        <v>17</v>
      </c>
      <c r="AG449" s="6" t="s">
        <v>17</v>
      </c>
      <c r="AH449" s="6" t="s">
        <v>17</v>
      </c>
      <c r="AI449" s="6" t="s">
        <v>17</v>
      </c>
      <c r="AJ449" s="6" t="s">
        <v>17</v>
      </c>
      <c r="AK449" s="6" t="s">
        <v>17</v>
      </c>
      <c r="AL449" s="6" t="s">
        <v>17</v>
      </c>
      <c r="AM449" s="6" t="s">
        <v>17</v>
      </c>
      <c r="AN449" s="6" t="s">
        <v>17</v>
      </c>
      <c r="AO449" s="6" t="s">
        <v>17</v>
      </c>
      <c r="AP449" s="6" t="s">
        <v>17</v>
      </c>
      <c r="AQ449" s="6" t="s">
        <v>17</v>
      </c>
      <c r="AR449" s="6" t="s">
        <v>17</v>
      </c>
    </row>
    <row r="450" spans="2:44" x14ac:dyDescent="0.3">
      <c r="B450" s="11">
        <v>51</v>
      </c>
      <c r="C450" s="13" t="s">
        <v>68</v>
      </c>
      <c r="D450" s="6" t="s">
        <v>2446</v>
      </c>
      <c r="E450" s="6" t="s">
        <v>17</v>
      </c>
      <c r="F450" s="6" t="s">
        <v>2620</v>
      </c>
      <c r="G450" s="6">
        <v>1</v>
      </c>
      <c r="H450" s="116">
        <v>0</v>
      </c>
      <c r="I450" s="116">
        <v>0</v>
      </c>
      <c r="J450" s="116">
        <v>0</v>
      </c>
      <c r="K450" s="6" t="s">
        <v>17</v>
      </c>
      <c r="L450" s="6" t="s">
        <v>17</v>
      </c>
      <c r="M450" s="6" t="s">
        <v>17</v>
      </c>
      <c r="N450" s="6" t="s">
        <v>17</v>
      </c>
      <c r="O450" s="6" t="s">
        <v>17</v>
      </c>
      <c r="P450" s="6" t="s">
        <v>17</v>
      </c>
      <c r="Q450" s="6" t="s">
        <v>17</v>
      </c>
      <c r="R450" s="6" t="s">
        <v>17</v>
      </c>
      <c r="S450" s="6" t="s">
        <v>17</v>
      </c>
      <c r="T450" s="6" t="s">
        <v>17</v>
      </c>
      <c r="U450" s="6" t="s">
        <v>17</v>
      </c>
      <c r="V450" s="6" t="s">
        <v>17</v>
      </c>
      <c r="W450" s="6" t="s">
        <v>17</v>
      </c>
      <c r="X450" s="6" t="s">
        <v>17</v>
      </c>
      <c r="Y450" s="6" t="s">
        <v>17</v>
      </c>
      <c r="Z450" s="6" t="s">
        <v>17</v>
      </c>
      <c r="AA450" s="6" t="s">
        <v>17</v>
      </c>
      <c r="AB450" s="6" t="s">
        <v>17</v>
      </c>
      <c r="AC450" s="6" t="s">
        <v>17</v>
      </c>
      <c r="AD450" s="6" t="s">
        <v>17</v>
      </c>
      <c r="AE450" s="6" t="s">
        <v>17</v>
      </c>
      <c r="AF450" s="6" t="s">
        <v>17</v>
      </c>
      <c r="AG450" s="6" t="s">
        <v>17</v>
      </c>
      <c r="AH450" s="6" t="s">
        <v>17</v>
      </c>
      <c r="AI450" s="6" t="s">
        <v>17</v>
      </c>
      <c r="AJ450" s="6" t="s">
        <v>17</v>
      </c>
      <c r="AK450" s="6" t="s">
        <v>17</v>
      </c>
      <c r="AL450" s="6" t="s">
        <v>17</v>
      </c>
      <c r="AM450" s="6" t="s">
        <v>17</v>
      </c>
      <c r="AN450" s="6" t="s">
        <v>17</v>
      </c>
      <c r="AO450" s="6" t="s">
        <v>17</v>
      </c>
      <c r="AP450" s="6" t="s">
        <v>17</v>
      </c>
      <c r="AQ450" s="6" t="s">
        <v>17</v>
      </c>
      <c r="AR450" s="6" t="s">
        <v>17</v>
      </c>
    </row>
    <row r="451" spans="2:44" x14ac:dyDescent="0.3">
      <c r="B451" s="11">
        <v>52</v>
      </c>
      <c r="C451" s="13" t="s">
        <v>86</v>
      </c>
      <c r="D451" s="6" t="s">
        <v>2447</v>
      </c>
      <c r="E451" s="6" t="s">
        <v>17</v>
      </c>
      <c r="F451" s="6" t="s">
        <v>2620</v>
      </c>
      <c r="G451" s="6">
        <v>1</v>
      </c>
      <c r="H451" s="116">
        <v>0</v>
      </c>
      <c r="I451" s="116">
        <v>0</v>
      </c>
      <c r="J451" s="116">
        <v>0</v>
      </c>
      <c r="K451" s="6" t="s">
        <v>17</v>
      </c>
      <c r="L451" s="6" t="s">
        <v>17</v>
      </c>
      <c r="M451" s="6" t="s">
        <v>17</v>
      </c>
      <c r="N451" s="6" t="s">
        <v>17</v>
      </c>
      <c r="O451" s="6" t="s">
        <v>17</v>
      </c>
      <c r="P451" s="6" t="s">
        <v>17</v>
      </c>
      <c r="Q451" s="6" t="s">
        <v>17</v>
      </c>
      <c r="R451" s="6" t="s">
        <v>17</v>
      </c>
      <c r="S451" s="6" t="s">
        <v>17</v>
      </c>
      <c r="T451" s="6" t="s">
        <v>17</v>
      </c>
      <c r="U451" s="6" t="s">
        <v>17</v>
      </c>
      <c r="V451" s="6" t="s">
        <v>17</v>
      </c>
      <c r="W451" s="6" t="s">
        <v>17</v>
      </c>
      <c r="X451" s="6" t="s">
        <v>17</v>
      </c>
      <c r="Y451" s="6" t="s">
        <v>17</v>
      </c>
      <c r="Z451" s="6" t="s">
        <v>17</v>
      </c>
      <c r="AA451" s="6" t="s">
        <v>17</v>
      </c>
      <c r="AB451" s="6" t="s">
        <v>17</v>
      </c>
      <c r="AC451" s="6" t="s">
        <v>17</v>
      </c>
      <c r="AD451" s="6" t="s">
        <v>17</v>
      </c>
      <c r="AE451" s="6" t="s">
        <v>17</v>
      </c>
      <c r="AF451" s="6" t="s">
        <v>17</v>
      </c>
      <c r="AG451" s="6" t="s">
        <v>17</v>
      </c>
      <c r="AH451" s="6" t="s">
        <v>17</v>
      </c>
      <c r="AI451" s="6" t="s">
        <v>17</v>
      </c>
      <c r="AJ451" s="6" t="s">
        <v>17</v>
      </c>
      <c r="AK451" s="6" t="s">
        <v>17</v>
      </c>
      <c r="AL451" s="6" t="s">
        <v>17</v>
      </c>
      <c r="AM451" s="6" t="s">
        <v>17</v>
      </c>
      <c r="AN451" s="6" t="s">
        <v>17</v>
      </c>
      <c r="AO451" s="6" t="s">
        <v>17</v>
      </c>
      <c r="AP451" s="6" t="s">
        <v>17</v>
      </c>
      <c r="AQ451" s="6" t="s">
        <v>17</v>
      </c>
      <c r="AR451" s="6" t="s">
        <v>17</v>
      </c>
    </row>
    <row r="452" spans="2:44" x14ac:dyDescent="0.3">
      <c r="B452" s="11">
        <v>53</v>
      </c>
      <c r="C452" s="13" t="s">
        <v>87</v>
      </c>
      <c r="D452" s="6" t="s">
        <v>2448</v>
      </c>
      <c r="E452" s="6" t="s">
        <v>17</v>
      </c>
      <c r="F452" s="6" t="s">
        <v>2620</v>
      </c>
      <c r="G452" s="6">
        <v>1</v>
      </c>
      <c r="H452" s="116">
        <v>0</v>
      </c>
      <c r="I452" s="116">
        <v>0</v>
      </c>
      <c r="J452" s="116">
        <v>0</v>
      </c>
      <c r="K452" s="6" t="s">
        <v>17</v>
      </c>
      <c r="L452" s="6" t="s">
        <v>17</v>
      </c>
      <c r="M452" s="6" t="s">
        <v>17</v>
      </c>
      <c r="N452" s="6" t="s">
        <v>17</v>
      </c>
      <c r="O452" s="6" t="s">
        <v>17</v>
      </c>
      <c r="P452" s="6" t="s">
        <v>17</v>
      </c>
      <c r="Q452" s="6" t="s">
        <v>17</v>
      </c>
      <c r="R452" s="6" t="s">
        <v>17</v>
      </c>
      <c r="S452" s="6" t="s">
        <v>17</v>
      </c>
      <c r="T452" s="6" t="s">
        <v>17</v>
      </c>
      <c r="U452" s="6" t="s">
        <v>17</v>
      </c>
      <c r="V452" s="6" t="s">
        <v>17</v>
      </c>
      <c r="W452" s="6" t="s">
        <v>17</v>
      </c>
      <c r="X452" s="6" t="s">
        <v>17</v>
      </c>
      <c r="Y452" s="6" t="s">
        <v>17</v>
      </c>
      <c r="Z452" s="6" t="s">
        <v>17</v>
      </c>
      <c r="AA452" s="6" t="s">
        <v>17</v>
      </c>
      <c r="AB452" s="6" t="s">
        <v>17</v>
      </c>
      <c r="AC452" s="6" t="s">
        <v>17</v>
      </c>
      <c r="AD452" s="6" t="s">
        <v>17</v>
      </c>
      <c r="AE452" s="6" t="s">
        <v>17</v>
      </c>
      <c r="AF452" s="6" t="s">
        <v>17</v>
      </c>
      <c r="AG452" s="6" t="s">
        <v>17</v>
      </c>
      <c r="AH452" s="6" t="s">
        <v>17</v>
      </c>
      <c r="AI452" s="6" t="s">
        <v>17</v>
      </c>
      <c r="AJ452" s="6" t="s">
        <v>17</v>
      </c>
      <c r="AK452" s="6" t="s">
        <v>17</v>
      </c>
      <c r="AL452" s="6" t="s">
        <v>17</v>
      </c>
      <c r="AM452" s="6" t="s">
        <v>17</v>
      </c>
      <c r="AN452" s="6" t="s">
        <v>17</v>
      </c>
      <c r="AO452" s="6" t="s">
        <v>17</v>
      </c>
      <c r="AP452" s="6" t="s">
        <v>17</v>
      </c>
      <c r="AQ452" s="6" t="s">
        <v>17</v>
      </c>
      <c r="AR452" s="6" t="s">
        <v>17</v>
      </c>
    </row>
    <row r="453" spans="2:44" x14ac:dyDescent="0.3">
      <c r="B453" s="11">
        <v>54</v>
      </c>
      <c r="C453" s="13" t="s">
        <v>88</v>
      </c>
      <c r="D453" s="6" t="s">
        <v>2449</v>
      </c>
      <c r="E453" s="6" t="s">
        <v>17</v>
      </c>
      <c r="F453" s="6" t="s">
        <v>2620</v>
      </c>
      <c r="G453" s="6">
        <v>1</v>
      </c>
      <c r="H453" s="116">
        <v>0</v>
      </c>
      <c r="I453" s="116">
        <v>0</v>
      </c>
      <c r="J453" s="116">
        <v>0</v>
      </c>
      <c r="K453" s="6" t="s">
        <v>17</v>
      </c>
      <c r="L453" s="6" t="s">
        <v>17</v>
      </c>
      <c r="M453" s="6" t="s">
        <v>17</v>
      </c>
      <c r="N453" s="6" t="s">
        <v>17</v>
      </c>
      <c r="O453" s="6" t="s">
        <v>17</v>
      </c>
      <c r="P453" s="6" t="s">
        <v>17</v>
      </c>
      <c r="Q453" s="6" t="s">
        <v>17</v>
      </c>
      <c r="R453" s="6" t="s">
        <v>17</v>
      </c>
      <c r="S453" s="6" t="s">
        <v>17</v>
      </c>
      <c r="T453" s="6" t="s">
        <v>17</v>
      </c>
      <c r="U453" s="6" t="s">
        <v>17</v>
      </c>
      <c r="V453" s="6" t="s">
        <v>17</v>
      </c>
      <c r="W453" s="6" t="s">
        <v>17</v>
      </c>
      <c r="X453" s="6" t="s">
        <v>17</v>
      </c>
      <c r="Y453" s="6" t="s">
        <v>17</v>
      </c>
      <c r="Z453" s="6" t="s">
        <v>17</v>
      </c>
      <c r="AA453" s="6" t="s">
        <v>17</v>
      </c>
      <c r="AB453" s="6" t="s">
        <v>17</v>
      </c>
      <c r="AC453" s="6" t="s">
        <v>17</v>
      </c>
      <c r="AD453" s="6" t="s">
        <v>17</v>
      </c>
      <c r="AE453" s="6" t="s">
        <v>17</v>
      </c>
      <c r="AF453" s="6" t="s">
        <v>17</v>
      </c>
      <c r="AG453" s="6" t="s">
        <v>17</v>
      </c>
      <c r="AH453" s="6" t="s">
        <v>17</v>
      </c>
      <c r="AI453" s="6" t="s">
        <v>17</v>
      </c>
      <c r="AJ453" s="6" t="s">
        <v>17</v>
      </c>
      <c r="AK453" s="6" t="s">
        <v>17</v>
      </c>
      <c r="AL453" s="6" t="s">
        <v>17</v>
      </c>
      <c r="AM453" s="6" t="s">
        <v>17</v>
      </c>
      <c r="AN453" s="6" t="s">
        <v>17</v>
      </c>
      <c r="AO453" s="6" t="s">
        <v>17</v>
      </c>
      <c r="AP453" s="6" t="s">
        <v>17</v>
      </c>
      <c r="AQ453" s="6" t="s">
        <v>17</v>
      </c>
      <c r="AR453" s="6" t="s">
        <v>17</v>
      </c>
    </row>
    <row r="454" spans="2:44" x14ac:dyDescent="0.3">
      <c r="B454" s="11">
        <v>55</v>
      </c>
      <c r="C454" s="13" t="s">
        <v>90</v>
      </c>
      <c r="D454" s="6" t="s">
        <v>2450</v>
      </c>
      <c r="E454" s="6" t="s">
        <v>17</v>
      </c>
      <c r="F454" s="6" t="s">
        <v>2621</v>
      </c>
      <c r="G454" s="6">
        <v>1000</v>
      </c>
      <c r="H454" s="116">
        <v>0</v>
      </c>
      <c r="I454" s="116">
        <v>0</v>
      </c>
      <c r="J454" s="116">
        <v>0</v>
      </c>
      <c r="K454" s="6" t="s">
        <v>17</v>
      </c>
      <c r="L454" s="6" t="s">
        <v>17</v>
      </c>
      <c r="M454" s="6" t="s">
        <v>17</v>
      </c>
      <c r="N454" s="6" t="s">
        <v>17</v>
      </c>
      <c r="O454" s="6" t="s">
        <v>17</v>
      </c>
      <c r="P454" s="6" t="s">
        <v>17</v>
      </c>
      <c r="Q454" s="6" t="s">
        <v>17</v>
      </c>
      <c r="R454" s="6" t="s">
        <v>17</v>
      </c>
      <c r="S454" s="6" t="s">
        <v>17</v>
      </c>
      <c r="T454" s="6" t="s">
        <v>17</v>
      </c>
      <c r="U454" s="6" t="s">
        <v>17</v>
      </c>
      <c r="V454" s="6" t="s">
        <v>17</v>
      </c>
      <c r="W454" s="6" t="s">
        <v>17</v>
      </c>
      <c r="X454" s="6" t="s">
        <v>17</v>
      </c>
      <c r="Y454" s="6" t="s">
        <v>17</v>
      </c>
      <c r="Z454" s="6" t="s">
        <v>17</v>
      </c>
      <c r="AA454" s="6" t="s">
        <v>17</v>
      </c>
      <c r="AB454" s="6" t="s">
        <v>17</v>
      </c>
      <c r="AC454" s="6" t="s">
        <v>17</v>
      </c>
      <c r="AD454" s="6" t="s">
        <v>17</v>
      </c>
      <c r="AE454" s="6" t="s">
        <v>17</v>
      </c>
      <c r="AF454" s="6" t="s">
        <v>17</v>
      </c>
      <c r="AG454" s="6" t="s">
        <v>17</v>
      </c>
      <c r="AH454" s="6" t="s">
        <v>17</v>
      </c>
      <c r="AI454" s="6" t="s">
        <v>17</v>
      </c>
      <c r="AJ454" s="6" t="s">
        <v>17</v>
      </c>
      <c r="AK454" s="6" t="s">
        <v>17</v>
      </c>
      <c r="AL454" s="6" t="s">
        <v>17</v>
      </c>
      <c r="AM454" s="6" t="s">
        <v>17</v>
      </c>
      <c r="AN454" s="6" t="s">
        <v>17</v>
      </c>
      <c r="AO454" s="6" t="s">
        <v>17</v>
      </c>
      <c r="AP454" s="6" t="s">
        <v>17</v>
      </c>
      <c r="AQ454" s="6" t="s">
        <v>17</v>
      </c>
      <c r="AR454" s="6" t="s">
        <v>17</v>
      </c>
    </row>
    <row r="455" spans="2:44" x14ac:dyDescent="0.3">
      <c r="B455" s="11">
        <v>56</v>
      </c>
      <c r="C455" s="13" t="s">
        <v>91</v>
      </c>
      <c r="D455" s="6" t="s">
        <v>2451</v>
      </c>
      <c r="E455" s="6" t="s">
        <v>17</v>
      </c>
      <c r="F455" s="6" t="s">
        <v>2621</v>
      </c>
      <c r="G455" s="6">
        <v>1000</v>
      </c>
      <c r="H455" s="116">
        <v>0</v>
      </c>
      <c r="I455" s="116">
        <v>0</v>
      </c>
      <c r="J455" s="116">
        <v>0</v>
      </c>
      <c r="K455" s="6" t="s">
        <v>17</v>
      </c>
      <c r="L455" s="6" t="s">
        <v>17</v>
      </c>
      <c r="M455" s="6" t="s">
        <v>17</v>
      </c>
      <c r="N455" s="6" t="s">
        <v>17</v>
      </c>
      <c r="O455" s="6" t="s">
        <v>17</v>
      </c>
      <c r="P455" s="6" t="s">
        <v>17</v>
      </c>
      <c r="Q455" s="6" t="s">
        <v>17</v>
      </c>
      <c r="R455" s="6" t="s">
        <v>17</v>
      </c>
      <c r="S455" s="6" t="s">
        <v>17</v>
      </c>
      <c r="T455" s="6" t="s">
        <v>17</v>
      </c>
      <c r="U455" s="6" t="s">
        <v>17</v>
      </c>
      <c r="V455" s="6" t="s">
        <v>17</v>
      </c>
      <c r="W455" s="6" t="s">
        <v>17</v>
      </c>
      <c r="X455" s="6" t="s">
        <v>17</v>
      </c>
      <c r="Y455" s="6" t="s">
        <v>17</v>
      </c>
      <c r="Z455" s="6" t="s">
        <v>17</v>
      </c>
      <c r="AA455" s="6" t="s">
        <v>17</v>
      </c>
      <c r="AB455" s="6" t="s">
        <v>17</v>
      </c>
      <c r="AC455" s="6" t="s">
        <v>17</v>
      </c>
      <c r="AD455" s="6" t="s">
        <v>17</v>
      </c>
      <c r="AE455" s="6" t="s">
        <v>17</v>
      </c>
      <c r="AF455" s="6" t="s">
        <v>17</v>
      </c>
      <c r="AG455" s="6" t="s">
        <v>17</v>
      </c>
      <c r="AH455" s="6" t="s">
        <v>17</v>
      </c>
      <c r="AI455" s="6" t="s">
        <v>17</v>
      </c>
      <c r="AJ455" s="6" t="s">
        <v>17</v>
      </c>
      <c r="AK455" s="6" t="s">
        <v>17</v>
      </c>
      <c r="AL455" s="6" t="s">
        <v>17</v>
      </c>
      <c r="AM455" s="6" t="s">
        <v>17</v>
      </c>
      <c r="AN455" s="6" t="s">
        <v>17</v>
      </c>
      <c r="AO455" s="6" t="s">
        <v>17</v>
      </c>
      <c r="AP455" s="6" t="s">
        <v>17</v>
      </c>
      <c r="AQ455" s="6" t="s">
        <v>17</v>
      </c>
      <c r="AR455" s="6" t="s">
        <v>17</v>
      </c>
    </row>
    <row r="456" spans="2:44" x14ac:dyDescent="0.3">
      <c r="B456" s="11">
        <v>57</v>
      </c>
      <c r="C456" s="13" t="s">
        <v>92</v>
      </c>
      <c r="D456" s="6" t="s">
        <v>2452</v>
      </c>
      <c r="E456" s="6" t="s">
        <v>17</v>
      </c>
      <c r="F456" s="6" t="s">
        <v>2621</v>
      </c>
      <c r="G456" s="6">
        <v>1000</v>
      </c>
      <c r="H456" s="116">
        <v>0</v>
      </c>
      <c r="I456" s="116">
        <v>0</v>
      </c>
      <c r="J456" s="116">
        <v>0</v>
      </c>
      <c r="K456" s="6" t="s">
        <v>17</v>
      </c>
      <c r="L456" s="6" t="s">
        <v>17</v>
      </c>
      <c r="M456" s="6" t="s">
        <v>17</v>
      </c>
      <c r="N456" s="6" t="s">
        <v>17</v>
      </c>
      <c r="O456" s="6" t="s">
        <v>17</v>
      </c>
      <c r="P456" s="6" t="s">
        <v>17</v>
      </c>
      <c r="Q456" s="6" t="s">
        <v>17</v>
      </c>
      <c r="R456" s="6" t="s">
        <v>17</v>
      </c>
      <c r="S456" s="6" t="s">
        <v>17</v>
      </c>
      <c r="T456" s="6" t="s">
        <v>17</v>
      </c>
      <c r="U456" s="6" t="s">
        <v>17</v>
      </c>
      <c r="V456" s="6" t="s">
        <v>17</v>
      </c>
      <c r="W456" s="6" t="s">
        <v>17</v>
      </c>
      <c r="X456" s="6" t="s">
        <v>17</v>
      </c>
      <c r="Y456" s="6" t="s">
        <v>17</v>
      </c>
      <c r="Z456" s="6" t="s">
        <v>17</v>
      </c>
      <c r="AA456" s="6" t="s">
        <v>17</v>
      </c>
      <c r="AB456" s="6" t="s">
        <v>17</v>
      </c>
      <c r="AC456" s="6" t="s">
        <v>17</v>
      </c>
      <c r="AD456" s="6" t="s">
        <v>17</v>
      </c>
      <c r="AE456" s="6" t="s">
        <v>17</v>
      </c>
      <c r="AF456" s="6" t="s">
        <v>17</v>
      </c>
      <c r="AG456" s="6" t="s">
        <v>17</v>
      </c>
      <c r="AH456" s="6" t="s">
        <v>17</v>
      </c>
      <c r="AI456" s="6" t="s">
        <v>17</v>
      </c>
      <c r="AJ456" s="6" t="s">
        <v>17</v>
      </c>
      <c r="AK456" s="6" t="s">
        <v>17</v>
      </c>
      <c r="AL456" s="6" t="s">
        <v>17</v>
      </c>
      <c r="AM456" s="6" t="s">
        <v>17</v>
      </c>
      <c r="AN456" s="6" t="s">
        <v>17</v>
      </c>
      <c r="AO456" s="6" t="s">
        <v>17</v>
      </c>
      <c r="AP456" s="6" t="s">
        <v>17</v>
      </c>
      <c r="AQ456" s="6" t="s">
        <v>17</v>
      </c>
      <c r="AR456" s="6" t="s">
        <v>17</v>
      </c>
    </row>
    <row r="457" spans="2:44" x14ac:dyDescent="0.3">
      <c r="B457" s="11">
        <v>58</v>
      </c>
      <c r="C457" s="13" t="s">
        <v>93</v>
      </c>
      <c r="D457" s="6" t="s">
        <v>2453</v>
      </c>
      <c r="E457" s="6" t="s">
        <v>17</v>
      </c>
      <c r="F457" s="6" t="s">
        <v>2621</v>
      </c>
      <c r="G457" s="6">
        <v>1000</v>
      </c>
      <c r="H457" s="116">
        <v>0</v>
      </c>
      <c r="I457" s="116">
        <v>0</v>
      </c>
      <c r="J457" s="116">
        <v>0</v>
      </c>
      <c r="K457" s="6" t="s">
        <v>17</v>
      </c>
      <c r="L457" s="6" t="s">
        <v>17</v>
      </c>
      <c r="M457" s="6" t="s">
        <v>17</v>
      </c>
      <c r="N457" s="6" t="s">
        <v>17</v>
      </c>
      <c r="O457" s="6" t="s">
        <v>17</v>
      </c>
      <c r="P457" s="6" t="s">
        <v>17</v>
      </c>
      <c r="Q457" s="6" t="s">
        <v>17</v>
      </c>
      <c r="R457" s="6" t="s">
        <v>17</v>
      </c>
      <c r="S457" s="6" t="s">
        <v>17</v>
      </c>
      <c r="T457" s="6" t="s">
        <v>17</v>
      </c>
      <c r="U457" s="6" t="s">
        <v>17</v>
      </c>
      <c r="V457" s="6" t="s">
        <v>17</v>
      </c>
      <c r="W457" s="6" t="s">
        <v>17</v>
      </c>
      <c r="X457" s="6" t="s">
        <v>17</v>
      </c>
      <c r="Y457" s="6" t="s">
        <v>17</v>
      </c>
      <c r="Z457" s="6" t="s">
        <v>17</v>
      </c>
      <c r="AA457" s="6" t="s">
        <v>17</v>
      </c>
      <c r="AB457" s="6" t="s">
        <v>17</v>
      </c>
      <c r="AC457" s="6" t="s">
        <v>17</v>
      </c>
      <c r="AD457" s="6" t="s">
        <v>17</v>
      </c>
      <c r="AE457" s="6" t="s">
        <v>17</v>
      </c>
      <c r="AF457" s="6" t="s">
        <v>17</v>
      </c>
      <c r="AG457" s="6" t="s">
        <v>17</v>
      </c>
      <c r="AH457" s="6" t="s">
        <v>17</v>
      </c>
      <c r="AI457" s="6" t="s">
        <v>17</v>
      </c>
      <c r="AJ457" s="6" t="s">
        <v>17</v>
      </c>
      <c r="AK457" s="6" t="s">
        <v>17</v>
      </c>
      <c r="AL457" s="6" t="s">
        <v>17</v>
      </c>
      <c r="AM457" s="6" t="s">
        <v>17</v>
      </c>
      <c r="AN457" s="6" t="s">
        <v>17</v>
      </c>
      <c r="AO457" s="6" t="s">
        <v>17</v>
      </c>
      <c r="AP457" s="6" t="s">
        <v>17</v>
      </c>
      <c r="AQ457" s="6" t="s">
        <v>17</v>
      </c>
      <c r="AR457" s="6" t="s">
        <v>17</v>
      </c>
    </row>
    <row r="458" spans="2:44" x14ac:dyDescent="0.3">
      <c r="B458" s="11">
        <v>59</v>
      </c>
      <c r="C458" s="13" t="s">
        <v>94</v>
      </c>
      <c r="D458" s="6" t="s">
        <v>2454</v>
      </c>
      <c r="E458" s="6" t="s">
        <v>17</v>
      </c>
      <c r="F458" s="6" t="s">
        <v>2621</v>
      </c>
      <c r="G458" s="6">
        <v>1000</v>
      </c>
      <c r="H458" s="116">
        <v>0</v>
      </c>
      <c r="I458" s="116">
        <v>0</v>
      </c>
      <c r="J458" s="116">
        <v>0</v>
      </c>
      <c r="K458" s="6" t="s">
        <v>17</v>
      </c>
      <c r="L458" s="6" t="s">
        <v>17</v>
      </c>
      <c r="M458" s="6" t="s">
        <v>17</v>
      </c>
      <c r="N458" s="6" t="s">
        <v>17</v>
      </c>
      <c r="O458" s="6" t="s">
        <v>17</v>
      </c>
      <c r="P458" s="6" t="s">
        <v>17</v>
      </c>
      <c r="Q458" s="6" t="s">
        <v>17</v>
      </c>
      <c r="R458" s="6" t="s">
        <v>17</v>
      </c>
      <c r="S458" s="6" t="s">
        <v>17</v>
      </c>
      <c r="T458" s="6" t="s">
        <v>17</v>
      </c>
      <c r="U458" s="6" t="s">
        <v>17</v>
      </c>
      <c r="V458" s="6" t="s">
        <v>17</v>
      </c>
      <c r="W458" s="6" t="s">
        <v>17</v>
      </c>
      <c r="X458" s="6" t="s">
        <v>17</v>
      </c>
      <c r="Y458" s="6" t="s">
        <v>17</v>
      </c>
      <c r="Z458" s="6" t="s">
        <v>17</v>
      </c>
      <c r="AA458" s="6" t="s">
        <v>17</v>
      </c>
      <c r="AB458" s="6" t="s">
        <v>17</v>
      </c>
      <c r="AC458" s="6" t="s">
        <v>17</v>
      </c>
      <c r="AD458" s="6" t="s">
        <v>17</v>
      </c>
      <c r="AE458" s="6" t="s">
        <v>17</v>
      </c>
      <c r="AF458" s="6" t="s">
        <v>17</v>
      </c>
      <c r="AG458" s="6" t="s">
        <v>17</v>
      </c>
      <c r="AH458" s="6" t="s">
        <v>17</v>
      </c>
      <c r="AI458" s="6" t="s">
        <v>17</v>
      </c>
      <c r="AJ458" s="6" t="s">
        <v>17</v>
      </c>
      <c r="AK458" s="6" t="s">
        <v>17</v>
      </c>
      <c r="AL458" s="6" t="s">
        <v>17</v>
      </c>
      <c r="AM458" s="6" t="s">
        <v>17</v>
      </c>
      <c r="AN458" s="6" t="s">
        <v>17</v>
      </c>
      <c r="AO458" s="6" t="s">
        <v>17</v>
      </c>
      <c r="AP458" s="6" t="s">
        <v>17</v>
      </c>
      <c r="AQ458" s="6" t="s">
        <v>17</v>
      </c>
      <c r="AR458" s="6" t="s">
        <v>17</v>
      </c>
    </row>
    <row r="459" spans="2:44" x14ac:dyDescent="0.3">
      <c r="B459" s="11">
        <v>60</v>
      </c>
      <c r="C459" s="13" t="s">
        <v>95</v>
      </c>
      <c r="D459" s="6" t="s">
        <v>2455</v>
      </c>
      <c r="E459" s="6" t="s">
        <v>17</v>
      </c>
      <c r="F459" s="6" t="s">
        <v>2621</v>
      </c>
      <c r="G459" s="6">
        <v>1000</v>
      </c>
      <c r="H459" s="116">
        <v>0</v>
      </c>
      <c r="I459" s="116">
        <v>0</v>
      </c>
      <c r="J459" s="116">
        <v>0</v>
      </c>
      <c r="K459" s="6" t="s">
        <v>17</v>
      </c>
      <c r="L459" s="6" t="s">
        <v>17</v>
      </c>
      <c r="M459" s="6" t="s">
        <v>17</v>
      </c>
      <c r="N459" s="6" t="s">
        <v>17</v>
      </c>
      <c r="O459" s="6" t="s">
        <v>17</v>
      </c>
      <c r="P459" s="6" t="s">
        <v>17</v>
      </c>
      <c r="Q459" s="6" t="s">
        <v>17</v>
      </c>
      <c r="R459" s="6" t="s">
        <v>17</v>
      </c>
      <c r="S459" s="6" t="s">
        <v>17</v>
      </c>
      <c r="T459" s="6" t="s">
        <v>17</v>
      </c>
      <c r="U459" s="6" t="s">
        <v>17</v>
      </c>
      <c r="V459" s="6" t="s">
        <v>17</v>
      </c>
      <c r="W459" s="6" t="s">
        <v>17</v>
      </c>
      <c r="X459" s="6" t="s">
        <v>17</v>
      </c>
      <c r="Y459" s="6" t="s">
        <v>17</v>
      </c>
      <c r="Z459" s="6" t="s">
        <v>17</v>
      </c>
      <c r="AA459" s="6" t="s">
        <v>17</v>
      </c>
      <c r="AB459" s="6" t="s">
        <v>17</v>
      </c>
      <c r="AC459" s="6" t="s">
        <v>17</v>
      </c>
      <c r="AD459" s="6" t="s">
        <v>17</v>
      </c>
      <c r="AE459" s="6" t="s">
        <v>17</v>
      </c>
      <c r="AF459" s="6" t="s">
        <v>17</v>
      </c>
      <c r="AG459" s="6" t="s">
        <v>17</v>
      </c>
      <c r="AH459" s="6" t="s">
        <v>17</v>
      </c>
      <c r="AI459" s="6" t="s">
        <v>17</v>
      </c>
      <c r="AJ459" s="6" t="s">
        <v>17</v>
      </c>
      <c r="AK459" s="6" t="s">
        <v>17</v>
      </c>
      <c r="AL459" s="6" t="s">
        <v>17</v>
      </c>
      <c r="AM459" s="6" t="s">
        <v>17</v>
      </c>
      <c r="AN459" s="6" t="s">
        <v>17</v>
      </c>
      <c r="AO459" s="6" t="s">
        <v>17</v>
      </c>
      <c r="AP459" s="6" t="s">
        <v>17</v>
      </c>
      <c r="AQ459" s="6" t="s">
        <v>17</v>
      </c>
      <c r="AR459" s="6" t="s">
        <v>17</v>
      </c>
    </row>
    <row r="460" spans="2:44" x14ac:dyDescent="0.3">
      <c r="B460" s="11">
        <v>61</v>
      </c>
      <c r="C460" s="13" t="s">
        <v>96</v>
      </c>
      <c r="D460" s="6" t="s">
        <v>2456</v>
      </c>
      <c r="E460" s="6" t="s">
        <v>17</v>
      </c>
      <c r="F460" s="6" t="s">
        <v>2621</v>
      </c>
      <c r="G460" s="6">
        <v>1000</v>
      </c>
      <c r="H460" s="116">
        <v>0</v>
      </c>
      <c r="I460" s="116">
        <v>0</v>
      </c>
      <c r="J460" s="116">
        <v>0</v>
      </c>
      <c r="K460" s="6" t="s">
        <v>17</v>
      </c>
      <c r="L460" s="6" t="s">
        <v>17</v>
      </c>
      <c r="M460" s="6" t="s">
        <v>17</v>
      </c>
      <c r="N460" s="6" t="s">
        <v>17</v>
      </c>
      <c r="O460" s="6" t="s">
        <v>17</v>
      </c>
      <c r="P460" s="6" t="s">
        <v>17</v>
      </c>
      <c r="Q460" s="6" t="s">
        <v>17</v>
      </c>
      <c r="R460" s="6" t="s">
        <v>17</v>
      </c>
      <c r="S460" s="6" t="s">
        <v>17</v>
      </c>
      <c r="T460" s="6" t="s">
        <v>17</v>
      </c>
      <c r="U460" s="6" t="s">
        <v>17</v>
      </c>
      <c r="V460" s="6" t="s">
        <v>17</v>
      </c>
      <c r="W460" s="6" t="s">
        <v>17</v>
      </c>
      <c r="X460" s="6" t="s">
        <v>17</v>
      </c>
      <c r="Y460" s="6" t="s">
        <v>17</v>
      </c>
      <c r="Z460" s="6" t="s">
        <v>17</v>
      </c>
      <c r="AA460" s="6" t="s">
        <v>17</v>
      </c>
      <c r="AB460" s="6" t="s">
        <v>17</v>
      </c>
      <c r="AC460" s="6" t="s">
        <v>17</v>
      </c>
      <c r="AD460" s="6" t="s">
        <v>17</v>
      </c>
      <c r="AE460" s="6" t="s">
        <v>17</v>
      </c>
      <c r="AF460" s="6" t="s">
        <v>17</v>
      </c>
      <c r="AG460" s="6" t="s">
        <v>17</v>
      </c>
      <c r="AH460" s="6" t="s">
        <v>17</v>
      </c>
      <c r="AI460" s="6" t="s">
        <v>17</v>
      </c>
      <c r="AJ460" s="6" t="s">
        <v>17</v>
      </c>
      <c r="AK460" s="6" t="s">
        <v>17</v>
      </c>
      <c r="AL460" s="6" t="s">
        <v>17</v>
      </c>
      <c r="AM460" s="6" t="s">
        <v>17</v>
      </c>
      <c r="AN460" s="6" t="s">
        <v>17</v>
      </c>
      <c r="AO460" s="6" t="s">
        <v>17</v>
      </c>
      <c r="AP460" s="6" t="s">
        <v>17</v>
      </c>
      <c r="AQ460" s="6" t="s">
        <v>17</v>
      </c>
      <c r="AR460" s="6" t="s">
        <v>17</v>
      </c>
    </row>
    <row r="461" spans="2:44" x14ac:dyDescent="0.3">
      <c r="B461" s="11">
        <v>62</v>
      </c>
      <c r="C461" s="13" t="s">
        <v>97</v>
      </c>
      <c r="D461" s="6" t="s">
        <v>2457</v>
      </c>
      <c r="E461" s="6" t="s">
        <v>17</v>
      </c>
      <c r="F461" s="6" t="s">
        <v>2621</v>
      </c>
      <c r="G461" s="6">
        <v>1000</v>
      </c>
      <c r="H461" s="116">
        <v>0</v>
      </c>
      <c r="I461" s="116">
        <v>0</v>
      </c>
      <c r="J461" s="116">
        <v>0</v>
      </c>
      <c r="K461" s="6" t="s">
        <v>17</v>
      </c>
      <c r="L461" s="6" t="s">
        <v>17</v>
      </c>
      <c r="M461" s="6" t="s">
        <v>17</v>
      </c>
      <c r="N461" s="6" t="s">
        <v>17</v>
      </c>
      <c r="O461" s="6" t="s">
        <v>17</v>
      </c>
      <c r="P461" s="6" t="s">
        <v>17</v>
      </c>
      <c r="Q461" s="6" t="s">
        <v>17</v>
      </c>
      <c r="R461" s="6" t="s">
        <v>17</v>
      </c>
      <c r="S461" s="6" t="s">
        <v>17</v>
      </c>
      <c r="T461" s="6" t="s">
        <v>17</v>
      </c>
      <c r="U461" s="6" t="s">
        <v>17</v>
      </c>
      <c r="V461" s="6" t="s">
        <v>17</v>
      </c>
      <c r="W461" s="6" t="s">
        <v>17</v>
      </c>
      <c r="X461" s="6" t="s">
        <v>17</v>
      </c>
      <c r="Y461" s="6" t="s">
        <v>17</v>
      </c>
      <c r="Z461" s="6" t="s">
        <v>17</v>
      </c>
      <c r="AA461" s="6" t="s">
        <v>17</v>
      </c>
      <c r="AB461" s="6" t="s">
        <v>17</v>
      </c>
      <c r="AC461" s="6" t="s">
        <v>17</v>
      </c>
      <c r="AD461" s="6" t="s">
        <v>17</v>
      </c>
      <c r="AE461" s="6" t="s">
        <v>17</v>
      </c>
      <c r="AF461" s="6" t="s">
        <v>17</v>
      </c>
      <c r="AG461" s="6" t="s">
        <v>17</v>
      </c>
      <c r="AH461" s="6" t="s">
        <v>17</v>
      </c>
      <c r="AI461" s="6" t="s">
        <v>17</v>
      </c>
      <c r="AJ461" s="6" t="s">
        <v>17</v>
      </c>
      <c r="AK461" s="6" t="s">
        <v>17</v>
      </c>
      <c r="AL461" s="6" t="s">
        <v>17</v>
      </c>
      <c r="AM461" s="6" t="s">
        <v>17</v>
      </c>
      <c r="AN461" s="6" t="s">
        <v>17</v>
      </c>
      <c r="AO461" s="6" t="s">
        <v>17</v>
      </c>
      <c r="AP461" s="6" t="s">
        <v>17</v>
      </c>
      <c r="AQ461" s="6" t="s">
        <v>17</v>
      </c>
      <c r="AR461" s="6" t="s">
        <v>17</v>
      </c>
    </row>
    <row r="462" spans="2:44" x14ac:dyDescent="0.3">
      <c r="B462" s="11">
        <v>63</v>
      </c>
      <c r="C462" s="13" t="s">
        <v>2423</v>
      </c>
      <c r="D462" s="6" t="s">
        <v>2600</v>
      </c>
      <c r="E462" s="6" t="s">
        <v>17</v>
      </c>
      <c r="F462" s="6" t="s">
        <v>2621</v>
      </c>
      <c r="G462" s="6">
        <v>1000</v>
      </c>
      <c r="H462" s="116">
        <v>0</v>
      </c>
      <c r="I462" s="116">
        <v>0</v>
      </c>
      <c r="J462" s="116">
        <v>0</v>
      </c>
      <c r="K462" s="6" t="s">
        <v>17</v>
      </c>
      <c r="L462" s="6" t="s">
        <v>17</v>
      </c>
      <c r="M462" s="6" t="s">
        <v>17</v>
      </c>
      <c r="N462" s="6" t="s">
        <v>17</v>
      </c>
      <c r="O462" s="6" t="s">
        <v>17</v>
      </c>
      <c r="P462" s="6" t="s">
        <v>17</v>
      </c>
      <c r="Q462" s="6" t="s">
        <v>17</v>
      </c>
      <c r="R462" s="6" t="s">
        <v>17</v>
      </c>
      <c r="S462" s="6" t="s">
        <v>17</v>
      </c>
      <c r="T462" s="6" t="s">
        <v>17</v>
      </c>
      <c r="U462" s="6" t="s">
        <v>17</v>
      </c>
      <c r="V462" s="6" t="s">
        <v>17</v>
      </c>
      <c r="W462" s="6" t="s">
        <v>17</v>
      </c>
      <c r="X462" s="6" t="s">
        <v>17</v>
      </c>
      <c r="Y462" s="6" t="s">
        <v>17</v>
      </c>
      <c r="Z462" s="6" t="s">
        <v>17</v>
      </c>
      <c r="AA462" s="6" t="s">
        <v>17</v>
      </c>
      <c r="AB462" s="6" t="s">
        <v>17</v>
      </c>
      <c r="AC462" s="6" t="s">
        <v>17</v>
      </c>
      <c r="AD462" s="6" t="s">
        <v>17</v>
      </c>
      <c r="AE462" s="6" t="s">
        <v>17</v>
      </c>
      <c r="AF462" s="6" t="s">
        <v>17</v>
      </c>
      <c r="AG462" s="6" t="s">
        <v>17</v>
      </c>
      <c r="AH462" s="6" t="s">
        <v>17</v>
      </c>
      <c r="AI462" s="6" t="s">
        <v>17</v>
      </c>
      <c r="AJ462" s="6" t="s">
        <v>17</v>
      </c>
      <c r="AK462" s="6" t="s">
        <v>17</v>
      </c>
      <c r="AL462" s="6" t="s">
        <v>17</v>
      </c>
      <c r="AM462" s="6" t="s">
        <v>17</v>
      </c>
      <c r="AN462" s="6" t="s">
        <v>17</v>
      </c>
      <c r="AO462" s="6" t="s">
        <v>17</v>
      </c>
      <c r="AP462" s="6" t="s">
        <v>17</v>
      </c>
      <c r="AQ462" s="6" t="s">
        <v>17</v>
      </c>
      <c r="AR462" s="6" t="s">
        <v>17</v>
      </c>
    </row>
    <row r="463" spans="2:44" x14ac:dyDescent="0.3">
      <c r="B463" s="11">
        <v>64</v>
      </c>
      <c r="C463" s="13" t="s">
        <v>2424</v>
      </c>
      <c r="D463" s="6" t="s">
        <v>2601</v>
      </c>
      <c r="E463" s="6" t="s">
        <v>17</v>
      </c>
      <c r="F463" s="6" t="s">
        <v>2621</v>
      </c>
      <c r="G463" s="6">
        <v>1000</v>
      </c>
      <c r="H463" s="116">
        <v>0</v>
      </c>
      <c r="I463" s="116">
        <v>0</v>
      </c>
      <c r="J463" s="116">
        <v>0</v>
      </c>
      <c r="K463" s="6" t="s">
        <v>17</v>
      </c>
      <c r="L463" s="6" t="s">
        <v>17</v>
      </c>
      <c r="M463" s="6" t="s">
        <v>17</v>
      </c>
      <c r="N463" s="6" t="s">
        <v>17</v>
      </c>
      <c r="O463" s="6" t="s">
        <v>17</v>
      </c>
      <c r="P463" s="6" t="s">
        <v>17</v>
      </c>
      <c r="Q463" s="6" t="s">
        <v>17</v>
      </c>
      <c r="R463" s="6" t="s">
        <v>17</v>
      </c>
      <c r="S463" s="6" t="s">
        <v>17</v>
      </c>
      <c r="T463" s="6" t="s">
        <v>17</v>
      </c>
      <c r="U463" s="6" t="s">
        <v>17</v>
      </c>
      <c r="V463" s="6" t="s">
        <v>17</v>
      </c>
      <c r="W463" s="6" t="s">
        <v>17</v>
      </c>
      <c r="X463" s="6" t="s">
        <v>17</v>
      </c>
      <c r="Y463" s="6" t="s">
        <v>17</v>
      </c>
      <c r="Z463" s="6" t="s">
        <v>17</v>
      </c>
      <c r="AA463" s="6" t="s">
        <v>17</v>
      </c>
      <c r="AB463" s="6" t="s">
        <v>17</v>
      </c>
      <c r="AC463" s="6" t="s">
        <v>17</v>
      </c>
      <c r="AD463" s="6" t="s">
        <v>17</v>
      </c>
      <c r="AE463" s="6" t="s">
        <v>17</v>
      </c>
      <c r="AF463" s="6" t="s">
        <v>17</v>
      </c>
      <c r="AG463" s="6" t="s">
        <v>17</v>
      </c>
      <c r="AH463" s="6" t="s">
        <v>17</v>
      </c>
      <c r="AI463" s="6" t="s">
        <v>17</v>
      </c>
      <c r="AJ463" s="6" t="s">
        <v>17</v>
      </c>
      <c r="AK463" s="6" t="s">
        <v>17</v>
      </c>
      <c r="AL463" s="6" t="s">
        <v>17</v>
      </c>
      <c r="AM463" s="6" t="s">
        <v>17</v>
      </c>
      <c r="AN463" s="6" t="s">
        <v>17</v>
      </c>
      <c r="AO463" s="6" t="s">
        <v>17</v>
      </c>
      <c r="AP463" s="6" t="s">
        <v>17</v>
      </c>
      <c r="AQ463" s="6" t="s">
        <v>17</v>
      </c>
      <c r="AR463" s="6" t="s">
        <v>17</v>
      </c>
    </row>
    <row r="464" spans="2:44" x14ac:dyDescent="0.3">
      <c r="B464" s="11">
        <v>65</v>
      </c>
      <c r="C464" s="13" t="s">
        <v>2425</v>
      </c>
      <c r="D464" s="6" t="s">
        <v>2602</v>
      </c>
      <c r="E464" s="6" t="s">
        <v>17</v>
      </c>
      <c r="F464" s="6" t="s">
        <v>2621</v>
      </c>
      <c r="G464" s="6">
        <v>1000</v>
      </c>
      <c r="H464" s="116">
        <v>0</v>
      </c>
      <c r="I464" s="116">
        <v>0</v>
      </c>
      <c r="J464" s="116">
        <v>0</v>
      </c>
      <c r="K464" s="6" t="s">
        <v>17</v>
      </c>
      <c r="L464" s="6" t="s">
        <v>17</v>
      </c>
      <c r="M464" s="6" t="s">
        <v>17</v>
      </c>
      <c r="N464" s="6" t="s">
        <v>17</v>
      </c>
      <c r="O464" s="6" t="s">
        <v>17</v>
      </c>
      <c r="P464" s="6" t="s">
        <v>17</v>
      </c>
      <c r="Q464" s="6" t="s">
        <v>17</v>
      </c>
      <c r="R464" s="6" t="s">
        <v>17</v>
      </c>
      <c r="S464" s="6" t="s">
        <v>17</v>
      </c>
      <c r="T464" s="6" t="s">
        <v>17</v>
      </c>
      <c r="U464" s="6" t="s">
        <v>17</v>
      </c>
      <c r="V464" s="6" t="s">
        <v>17</v>
      </c>
      <c r="W464" s="6" t="s">
        <v>17</v>
      </c>
      <c r="X464" s="6" t="s">
        <v>17</v>
      </c>
      <c r="Y464" s="6" t="s">
        <v>17</v>
      </c>
      <c r="Z464" s="6" t="s">
        <v>17</v>
      </c>
      <c r="AA464" s="6" t="s">
        <v>17</v>
      </c>
      <c r="AB464" s="6" t="s">
        <v>17</v>
      </c>
      <c r="AC464" s="6" t="s">
        <v>17</v>
      </c>
      <c r="AD464" s="6" t="s">
        <v>17</v>
      </c>
      <c r="AE464" s="6" t="s">
        <v>17</v>
      </c>
      <c r="AF464" s="6" t="s">
        <v>17</v>
      </c>
      <c r="AG464" s="6" t="s">
        <v>17</v>
      </c>
      <c r="AH464" s="6" t="s">
        <v>17</v>
      </c>
      <c r="AI464" s="6" t="s">
        <v>17</v>
      </c>
      <c r="AJ464" s="6" t="s">
        <v>17</v>
      </c>
      <c r="AK464" s="6" t="s">
        <v>17</v>
      </c>
      <c r="AL464" s="6" t="s">
        <v>17</v>
      </c>
      <c r="AM464" s="6" t="s">
        <v>17</v>
      </c>
      <c r="AN464" s="6" t="s">
        <v>17</v>
      </c>
      <c r="AO464" s="6" t="s">
        <v>17</v>
      </c>
      <c r="AP464" s="6" t="s">
        <v>17</v>
      </c>
      <c r="AQ464" s="6" t="s">
        <v>17</v>
      </c>
      <c r="AR464" s="6" t="s">
        <v>17</v>
      </c>
    </row>
    <row r="465" spans="1:44" x14ac:dyDescent="0.3">
      <c r="B465" s="11">
        <v>66</v>
      </c>
      <c r="C465" s="13" t="s">
        <v>2426</v>
      </c>
      <c r="D465" s="6" t="s">
        <v>2603</v>
      </c>
      <c r="E465" s="6" t="s">
        <v>17</v>
      </c>
      <c r="F465" s="6" t="s">
        <v>2621</v>
      </c>
      <c r="G465" s="6">
        <v>1000</v>
      </c>
      <c r="H465" s="116">
        <v>0</v>
      </c>
      <c r="I465" s="116">
        <v>0</v>
      </c>
      <c r="J465" s="116">
        <v>0</v>
      </c>
      <c r="K465" s="6" t="s">
        <v>17</v>
      </c>
      <c r="L465" s="6" t="s">
        <v>17</v>
      </c>
      <c r="M465" s="6" t="s">
        <v>17</v>
      </c>
      <c r="N465" s="6" t="s">
        <v>17</v>
      </c>
      <c r="O465" s="6" t="s">
        <v>17</v>
      </c>
      <c r="P465" s="6" t="s">
        <v>17</v>
      </c>
      <c r="Q465" s="6" t="s">
        <v>17</v>
      </c>
      <c r="R465" s="6" t="s">
        <v>17</v>
      </c>
      <c r="S465" s="6" t="s">
        <v>17</v>
      </c>
      <c r="T465" s="6" t="s">
        <v>17</v>
      </c>
      <c r="U465" s="6" t="s">
        <v>17</v>
      </c>
      <c r="V465" s="6" t="s">
        <v>17</v>
      </c>
      <c r="W465" s="6" t="s">
        <v>17</v>
      </c>
      <c r="X465" s="6" t="s">
        <v>17</v>
      </c>
      <c r="Y465" s="6" t="s">
        <v>17</v>
      </c>
      <c r="Z465" s="6" t="s">
        <v>17</v>
      </c>
      <c r="AA465" s="6" t="s">
        <v>17</v>
      </c>
      <c r="AB465" s="6" t="s">
        <v>17</v>
      </c>
      <c r="AC465" s="6" t="s">
        <v>17</v>
      </c>
      <c r="AD465" s="6" t="s">
        <v>17</v>
      </c>
      <c r="AE465" s="6" t="s">
        <v>17</v>
      </c>
      <c r="AF465" s="6" t="s">
        <v>17</v>
      </c>
      <c r="AG465" s="6" t="s">
        <v>17</v>
      </c>
      <c r="AH465" s="6" t="s">
        <v>17</v>
      </c>
      <c r="AI465" s="6" t="s">
        <v>17</v>
      </c>
      <c r="AJ465" s="6" t="s">
        <v>17</v>
      </c>
      <c r="AK465" s="6" t="s">
        <v>17</v>
      </c>
      <c r="AL465" s="6" t="s">
        <v>17</v>
      </c>
      <c r="AM465" s="6" t="s">
        <v>17</v>
      </c>
      <c r="AN465" s="6" t="s">
        <v>17</v>
      </c>
      <c r="AO465" s="6" t="s">
        <v>17</v>
      </c>
      <c r="AP465" s="6" t="s">
        <v>17</v>
      </c>
      <c r="AQ465" s="6" t="s">
        <v>17</v>
      </c>
      <c r="AR465" s="6" t="s">
        <v>17</v>
      </c>
    </row>
    <row r="466" spans="1:44" x14ac:dyDescent="0.3">
      <c r="B466" s="17"/>
      <c r="C466" s="5" t="s">
        <v>511</v>
      </c>
      <c r="D466" s="5"/>
      <c r="E466" s="5"/>
      <c r="F466" s="5"/>
      <c r="G466" s="5"/>
      <c r="H466" s="5"/>
      <c r="I466" s="5"/>
      <c r="J466" s="5"/>
      <c r="K466" s="5"/>
      <c r="L466" s="5"/>
      <c r="M466" s="5"/>
      <c r="N466" s="5"/>
      <c r="O466" s="5"/>
      <c r="P466" s="5"/>
      <c r="Q466" s="5"/>
      <c r="R466" s="5"/>
      <c r="S466" s="5"/>
      <c r="T466" s="33"/>
    </row>
    <row r="467" spans="1:44" x14ac:dyDescent="0.3">
      <c r="B467" s="62" t="s">
        <v>1655</v>
      </c>
      <c r="C467" s="21" t="s">
        <v>573</v>
      </c>
      <c r="D467" s="21" t="s">
        <v>166</v>
      </c>
      <c r="E467" s="21" t="s">
        <v>154</v>
      </c>
      <c r="F467" s="21" t="s">
        <v>155</v>
      </c>
      <c r="G467" s="21" t="s">
        <v>157</v>
      </c>
      <c r="H467" s="21" t="s">
        <v>158</v>
      </c>
      <c r="I467" s="21" t="s">
        <v>159</v>
      </c>
      <c r="J467" s="5" t="s">
        <v>160</v>
      </c>
      <c r="K467" s="5" t="s">
        <v>161</v>
      </c>
      <c r="L467" s="5" t="s">
        <v>162</v>
      </c>
      <c r="M467" s="5" t="s">
        <v>163</v>
      </c>
      <c r="N467" s="5" t="s">
        <v>164</v>
      </c>
      <c r="O467" s="5" t="s">
        <v>165</v>
      </c>
      <c r="P467" s="5"/>
      <c r="Q467" s="5"/>
      <c r="R467" s="5"/>
      <c r="S467" s="5"/>
      <c r="T467" s="5"/>
    </row>
    <row r="468" spans="1:44" x14ac:dyDescent="0.3">
      <c r="A468" s="25">
        <v>1</v>
      </c>
      <c r="B468" s="11"/>
      <c r="C468" s="6" t="s">
        <v>2476</v>
      </c>
      <c r="D468" s="6" t="s">
        <v>2499</v>
      </c>
      <c r="E468" s="6" t="s">
        <v>2620</v>
      </c>
      <c r="F468" s="6">
        <v>1</v>
      </c>
      <c r="G468" s="6" t="s">
        <v>17</v>
      </c>
      <c r="H468" s="6" t="s">
        <v>17</v>
      </c>
      <c r="I468" s="6" t="s">
        <v>17</v>
      </c>
      <c r="J468" s="5"/>
      <c r="K468" s="5"/>
      <c r="L468" s="5"/>
      <c r="M468" s="5"/>
      <c r="N468" s="5"/>
      <c r="O468" s="5"/>
      <c r="P468" s="5"/>
      <c r="Q468" s="5"/>
      <c r="R468" s="5"/>
      <c r="S468" s="5"/>
      <c r="T468" s="5"/>
      <c r="V468" s="6"/>
      <c r="Y468" t="str">
        <f>CHAR(34)&amp;V468&amp;CHAR(34)</f>
        <v>""</v>
      </c>
    </row>
    <row r="469" spans="1:44" x14ac:dyDescent="0.3">
      <c r="A469" s="25">
        <v>2</v>
      </c>
      <c r="B469" s="11"/>
      <c r="C469" s="6" t="s">
        <v>2477</v>
      </c>
      <c r="D469" s="6" t="s">
        <v>2500</v>
      </c>
      <c r="E469" s="6" t="s">
        <v>2620</v>
      </c>
      <c r="F469" s="6">
        <v>1</v>
      </c>
      <c r="G469" s="6" t="s">
        <v>17</v>
      </c>
      <c r="H469" s="6" t="s">
        <v>17</v>
      </c>
      <c r="I469" s="6" t="s">
        <v>17</v>
      </c>
      <c r="J469" s="5"/>
      <c r="K469" s="5"/>
      <c r="L469" s="5"/>
      <c r="M469" s="5"/>
      <c r="N469" s="5"/>
      <c r="O469" s="5"/>
      <c r="P469" s="5"/>
      <c r="Q469" s="5"/>
      <c r="R469" s="5"/>
      <c r="S469" s="5"/>
      <c r="T469" s="5"/>
      <c r="V469" s="6"/>
      <c r="Y469" t="str">
        <f t="shared" ref="Y469:Y494" si="1">CHAR(34)&amp;V469&amp;CHAR(34)</f>
        <v>""</v>
      </c>
    </row>
    <row r="470" spans="1:44" x14ac:dyDescent="0.3">
      <c r="A470" s="25">
        <v>3</v>
      </c>
      <c r="B470" s="11"/>
      <c r="C470" s="6" t="s">
        <v>2478</v>
      </c>
      <c r="D470" s="6" t="s">
        <v>2501</v>
      </c>
      <c r="E470" s="6" t="s">
        <v>2620</v>
      </c>
      <c r="F470" s="6">
        <v>1</v>
      </c>
      <c r="G470" s="6" t="s">
        <v>17</v>
      </c>
      <c r="H470" s="6" t="s">
        <v>17</v>
      </c>
      <c r="I470" s="6" t="s">
        <v>17</v>
      </c>
      <c r="J470" s="5"/>
      <c r="K470" s="5"/>
      <c r="L470" s="5"/>
      <c r="M470" s="5"/>
      <c r="N470" s="5"/>
      <c r="O470" s="5"/>
      <c r="P470" s="5"/>
      <c r="Q470" s="5"/>
      <c r="R470" s="5"/>
      <c r="S470" s="5"/>
      <c r="T470" s="5"/>
      <c r="V470" s="6"/>
      <c r="Y470" t="str">
        <f t="shared" si="1"/>
        <v>""</v>
      </c>
    </row>
    <row r="471" spans="1:44" x14ac:dyDescent="0.3">
      <c r="A471" s="25">
        <v>4</v>
      </c>
      <c r="B471" s="11"/>
      <c r="C471" s="6" t="s">
        <v>2479</v>
      </c>
      <c r="D471" s="6" t="s">
        <v>2502</v>
      </c>
      <c r="E471" s="6" t="s">
        <v>2620</v>
      </c>
      <c r="F471" s="6">
        <v>1</v>
      </c>
      <c r="G471" s="6" t="s">
        <v>17</v>
      </c>
      <c r="H471" s="6" t="s">
        <v>17</v>
      </c>
      <c r="I471" s="6" t="s">
        <v>17</v>
      </c>
      <c r="J471" s="5"/>
      <c r="K471" s="5"/>
      <c r="L471" s="5"/>
      <c r="M471" s="5"/>
      <c r="N471" s="5"/>
      <c r="O471" s="5"/>
      <c r="P471" s="5"/>
      <c r="Q471" s="5"/>
      <c r="R471" s="5"/>
      <c r="S471" s="5"/>
      <c r="T471" s="5"/>
      <c r="V471" s="6"/>
      <c r="Y471" t="str">
        <f t="shared" si="1"/>
        <v>""</v>
      </c>
    </row>
    <row r="472" spans="1:44" x14ac:dyDescent="0.3">
      <c r="A472" s="25">
        <v>5</v>
      </c>
      <c r="B472" s="11"/>
      <c r="C472" s="6" t="s">
        <v>2480</v>
      </c>
      <c r="D472" s="6" t="s">
        <v>2503</v>
      </c>
      <c r="E472" s="6" t="s">
        <v>2620</v>
      </c>
      <c r="F472" s="6">
        <v>1</v>
      </c>
      <c r="G472" s="6" t="s">
        <v>17</v>
      </c>
      <c r="H472" s="6" t="s">
        <v>17</v>
      </c>
      <c r="I472" s="6" t="s">
        <v>17</v>
      </c>
      <c r="J472" s="5"/>
      <c r="K472" s="5"/>
      <c r="L472" s="5"/>
      <c r="M472" s="5"/>
      <c r="N472" s="5"/>
      <c r="O472" s="5"/>
      <c r="P472" s="5"/>
      <c r="Q472" s="5"/>
      <c r="R472" s="5"/>
      <c r="S472" s="5"/>
      <c r="T472" s="5"/>
      <c r="V472" s="6"/>
      <c r="Y472" t="str">
        <f t="shared" si="1"/>
        <v>""</v>
      </c>
    </row>
    <row r="473" spans="1:44" x14ac:dyDescent="0.3">
      <c r="A473" s="25">
        <v>6</v>
      </c>
      <c r="B473" s="11"/>
      <c r="C473" s="6" t="s">
        <v>2481</v>
      </c>
      <c r="D473" s="6" t="s">
        <v>2504</v>
      </c>
      <c r="E473" s="6" t="s">
        <v>2620</v>
      </c>
      <c r="F473" s="6">
        <v>1</v>
      </c>
      <c r="G473" s="6" t="s">
        <v>17</v>
      </c>
      <c r="H473" s="6" t="s">
        <v>17</v>
      </c>
      <c r="I473" s="6" t="s">
        <v>17</v>
      </c>
      <c r="J473" s="5"/>
      <c r="K473" s="5"/>
      <c r="L473" s="5"/>
      <c r="M473" s="5"/>
      <c r="N473" s="5"/>
      <c r="O473" s="5"/>
      <c r="P473" s="5"/>
      <c r="Q473" s="5"/>
      <c r="R473" s="5"/>
      <c r="S473" s="5"/>
      <c r="T473" s="5"/>
      <c r="V473" s="6"/>
      <c r="Y473" t="str">
        <f t="shared" si="1"/>
        <v>""</v>
      </c>
    </row>
    <row r="474" spans="1:44" x14ac:dyDescent="0.3">
      <c r="A474" s="25">
        <v>7</v>
      </c>
      <c r="B474" s="11"/>
      <c r="C474" s="6" t="s">
        <v>2482</v>
      </c>
      <c r="D474" s="6" t="s">
        <v>2505</v>
      </c>
      <c r="E474" s="6" t="s">
        <v>2620</v>
      </c>
      <c r="F474" s="6">
        <v>1</v>
      </c>
      <c r="G474" s="6" t="s">
        <v>17</v>
      </c>
      <c r="H474" s="6" t="s">
        <v>17</v>
      </c>
      <c r="I474" s="6" t="s">
        <v>17</v>
      </c>
      <c r="J474" s="5"/>
      <c r="K474" s="5"/>
      <c r="L474" s="5"/>
      <c r="M474" s="5"/>
      <c r="N474" s="5"/>
      <c r="O474" s="5"/>
      <c r="P474" s="5"/>
      <c r="Q474" s="5"/>
      <c r="R474" s="5"/>
      <c r="S474" s="5"/>
      <c r="T474" s="5"/>
      <c r="V474" s="6"/>
      <c r="Y474" t="str">
        <f t="shared" si="1"/>
        <v>""</v>
      </c>
    </row>
    <row r="475" spans="1:44" x14ac:dyDescent="0.3">
      <c r="A475" s="25">
        <v>8</v>
      </c>
      <c r="B475" s="11"/>
      <c r="C475" s="6" t="s">
        <v>2483</v>
      </c>
      <c r="D475" s="6" t="s">
        <v>2506</v>
      </c>
      <c r="E475" s="6" t="s">
        <v>2620</v>
      </c>
      <c r="F475" s="6">
        <v>1</v>
      </c>
      <c r="G475" s="6" t="s">
        <v>17</v>
      </c>
      <c r="H475" s="6" t="s">
        <v>17</v>
      </c>
      <c r="I475" s="6" t="s">
        <v>17</v>
      </c>
      <c r="J475" s="5"/>
      <c r="K475" s="5"/>
      <c r="L475" s="5"/>
      <c r="M475" s="5"/>
      <c r="N475" s="5"/>
      <c r="O475" s="5"/>
      <c r="P475" s="5"/>
      <c r="Q475" s="5"/>
      <c r="R475" s="5"/>
      <c r="S475" s="5"/>
      <c r="T475" s="5"/>
      <c r="V475" s="6"/>
      <c r="Y475" t="str">
        <f t="shared" si="1"/>
        <v>""</v>
      </c>
    </row>
    <row r="476" spans="1:44" x14ac:dyDescent="0.3">
      <c r="A476" s="25">
        <v>9</v>
      </c>
      <c r="B476" s="11" t="s">
        <v>1528</v>
      </c>
      <c r="C476" s="6" t="s">
        <v>1527</v>
      </c>
      <c r="D476" s="6" t="s">
        <v>2507</v>
      </c>
      <c r="E476" s="6" t="s">
        <v>2620</v>
      </c>
      <c r="F476" s="6">
        <v>1</v>
      </c>
      <c r="G476" s="6" t="s">
        <v>17</v>
      </c>
      <c r="H476" s="6" t="s">
        <v>17</v>
      </c>
      <c r="I476" s="6" t="s">
        <v>17</v>
      </c>
      <c r="J476" s="5"/>
      <c r="K476" s="5"/>
      <c r="L476" s="5"/>
      <c r="M476" s="5"/>
      <c r="N476" s="5"/>
      <c r="O476" s="5"/>
      <c r="P476" s="5"/>
      <c r="Q476" s="5"/>
      <c r="R476" s="5"/>
      <c r="S476" s="5"/>
      <c r="T476" s="5"/>
      <c r="V476" s="6"/>
      <c r="Y476" t="str">
        <f t="shared" si="1"/>
        <v>""</v>
      </c>
    </row>
    <row r="477" spans="1:44" x14ac:dyDescent="0.3">
      <c r="A477" s="25">
        <v>10</v>
      </c>
      <c r="B477" s="11"/>
      <c r="C477" s="6" t="s">
        <v>2484</v>
      </c>
      <c r="D477" s="6" t="s">
        <v>2508</v>
      </c>
      <c r="E477" s="6" t="s">
        <v>2620</v>
      </c>
      <c r="F477" s="6">
        <v>1000</v>
      </c>
      <c r="G477" s="6" t="s">
        <v>17</v>
      </c>
      <c r="H477" s="6" t="s">
        <v>17</v>
      </c>
      <c r="I477" s="6" t="s">
        <v>17</v>
      </c>
      <c r="J477" s="5"/>
      <c r="K477" s="5"/>
      <c r="L477" s="5"/>
      <c r="M477" s="5"/>
      <c r="N477" s="5"/>
      <c r="O477" s="5"/>
      <c r="P477" s="5"/>
      <c r="Q477" s="5"/>
      <c r="R477" s="5"/>
      <c r="S477" s="5"/>
      <c r="T477" s="5"/>
      <c r="V477" s="6"/>
      <c r="Y477" t="str">
        <f t="shared" si="1"/>
        <v>""</v>
      </c>
    </row>
    <row r="478" spans="1:44" x14ac:dyDescent="0.3">
      <c r="A478" s="25">
        <v>11</v>
      </c>
      <c r="B478" s="11"/>
      <c r="C478" s="6" t="s">
        <v>2485</v>
      </c>
      <c r="D478" s="6" t="s">
        <v>2509</v>
      </c>
      <c r="E478" s="6" t="s">
        <v>2620</v>
      </c>
      <c r="F478" s="6">
        <v>1000</v>
      </c>
      <c r="G478" s="6" t="s">
        <v>17</v>
      </c>
      <c r="H478" s="6" t="s">
        <v>17</v>
      </c>
      <c r="I478" s="6" t="s">
        <v>17</v>
      </c>
      <c r="J478" s="5"/>
      <c r="K478" s="5"/>
      <c r="L478" s="5"/>
      <c r="M478" s="5"/>
      <c r="N478" s="5"/>
      <c r="O478" s="5"/>
      <c r="P478" s="5"/>
      <c r="Q478" s="5"/>
      <c r="R478" s="5"/>
      <c r="S478" s="5"/>
      <c r="T478" s="5"/>
      <c r="V478" s="6"/>
      <c r="Y478" t="str">
        <f t="shared" si="1"/>
        <v>""</v>
      </c>
    </row>
    <row r="479" spans="1:44" x14ac:dyDescent="0.3">
      <c r="A479" s="25">
        <v>12</v>
      </c>
      <c r="B479" s="11"/>
      <c r="C479" s="6" t="s">
        <v>2486</v>
      </c>
      <c r="D479" s="6" t="s">
        <v>2510</v>
      </c>
      <c r="E479" s="6" t="s">
        <v>2620</v>
      </c>
      <c r="F479" s="6">
        <v>1000</v>
      </c>
      <c r="G479" s="6" t="s">
        <v>17</v>
      </c>
      <c r="H479" s="6" t="s">
        <v>17</v>
      </c>
      <c r="I479" s="6" t="s">
        <v>17</v>
      </c>
      <c r="J479" s="5"/>
      <c r="K479" s="5"/>
      <c r="L479" s="5"/>
      <c r="M479" s="5"/>
      <c r="N479" s="5"/>
      <c r="O479" s="5"/>
      <c r="P479" s="5"/>
      <c r="Q479" s="5"/>
      <c r="R479" s="5"/>
      <c r="S479" s="5"/>
      <c r="T479" s="5"/>
      <c r="V479" s="6"/>
      <c r="Y479" t="str">
        <f t="shared" si="1"/>
        <v>""</v>
      </c>
    </row>
    <row r="480" spans="1:44" x14ac:dyDescent="0.3">
      <c r="A480" s="25">
        <v>13</v>
      </c>
      <c r="B480" s="11"/>
      <c r="C480" s="6" t="s">
        <v>2487</v>
      </c>
      <c r="D480" s="6" t="s">
        <v>2511</v>
      </c>
      <c r="E480" s="6" t="s">
        <v>2620</v>
      </c>
      <c r="F480" s="6">
        <v>1000</v>
      </c>
      <c r="G480" s="6" t="s">
        <v>17</v>
      </c>
      <c r="H480" s="6" t="s">
        <v>17</v>
      </c>
      <c r="I480" s="6" t="s">
        <v>17</v>
      </c>
      <c r="J480" s="5"/>
      <c r="K480" s="5"/>
      <c r="L480" s="5"/>
      <c r="M480" s="5"/>
      <c r="N480" s="5"/>
      <c r="O480" s="5"/>
      <c r="P480" s="5"/>
      <c r="Q480" s="5"/>
      <c r="R480" s="5"/>
      <c r="S480" s="5"/>
      <c r="T480" s="5"/>
      <c r="V480" s="6"/>
      <c r="Y480" t="str">
        <f t="shared" si="1"/>
        <v>""</v>
      </c>
    </row>
    <row r="481" spans="1:25" x14ac:dyDescent="0.3">
      <c r="A481" s="25">
        <v>14</v>
      </c>
      <c r="B481" s="11"/>
      <c r="C481" s="6" t="s">
        <v>2488</v>
      </c>
      <c r="D481" s="6" t="s">
        <v>2512</v>
      </c>
      <c r="E481" s="6" t="s">
        <v>2620</v>
      </c>
      <c r="F481" s="6">
        <v>1</v>
      </c>
      <c r="G481" s="6" t="s">
        <v>17</v>
      </c>
      <c r="H481" s="6" t="s">
        <v>17</v>
      </c>
      <c r="I481" s="6" t="s">
        <v>17</v>
      </c>
      <c r="J481" s="5"/>
      <c r="K481" s="5"/>
      <c r="L481" s="5"/>
      <c r="M481" s="5"/>
      <c r="N481" s="5"/>
      <c r="O481" s="5"/>
      <c r="P481" s="5"/>
      <c r="Q481" s="5"/>
      <c r="R481" s="5"/>
      <c r="S481" s="5"/>
      <c r="T481" s="5"/>
      <c r="V481" s="6"/>
      <c r="Y481" t="str">
        <f t="shared" si="1"/>
        <v>""</v>
      </c>
    </row>
    <row r="482" spans="1:25" x14ac:dyDescent="0.3">
      <c r="A482" s="25">
        <v>15</v>
      </c>
      <c r="B482" s="11"/>
      <c r="C482" s="6" t="s">
        <v>2489</v>
      </c>
      <c r="D482" s="6" t="s">
        <v>2513</v>
      </c>
      <c r="E482" s="6" t="s">
        <v>2620</v>
      </c>
      <c r="F482" s="6">
        <v>1000</v>
      </c>
      <c r="G482" s="6" t="s">
        <v>17</v>
      </c>
      <c r="H482" s="6" t="s">
        <v>17</v>
      </c>
      <c r="I482" s="6" t="s">
        <v>17</v>
      </c>
      <c r="J482" s="5"/>
      <c r="K482" s="5"/>
      <c r="L482" s="5"/>
      <c r="M482" s="5"/>
      <c r="N482" s="5"/>
      <c r="O482" s="5"/>
      <c r="P482" s="5"/>
      <c r="Q482" s="5"/>
      <c r="R482" s="5"/>
      <c r="S482" s="5"/>
      <c r="T482" s="5"/>
      <c r="V482" s="6"/>
      <c r="Y482" t="str">
        <f t="shared" si="1"/>
        <v>""</v>
      </c>
    </row>
    <row r="483" spans="1:25" x14ac:dyDescent="0.3">
      <c r="A483" s="25">
        <v>16</v>
      </c>
      <c r="B483" s="11"/>
      <c r="C483" s="6" t="s">
        <v>2490</v>
      </c>
      <c r="D483" s="6" t="s">
        <v>2514</v>
      </c>
      <c r="E483" s="6" t="s">
        <v>2620</v>
      </c>
      <c r="F483" s="6">
        <v>1</v>
      </c>
      <c r="G483" s="6" t="s">
        <v>17</v>
      </c>
      <c r="H483" s="6" t="s">
        <v>17</v>
      </c>
      <c r="I483" s="6" t="s">
        <v>17</v>
      </c>
      <c r="J483" s="5"/>
      <c r="K483" s="5"/>
      <c r="L483" s="5"/>
      <c r="M483" s="5"/>
      <c r="N483" s="5"/>
      <c r="O483" s="5"/>
      <c r="P483" s="5"/>
      <c r="Q483" s="5"/>
      <c r="R483" s="5"/>
      <c r="S483" s="5"/>
      <c r="T483" s="5"/>
      <c r="V483" s="6"/>
      <c r="Y483" t="str">
        <f t="shared" si="1"/>
        <v>""</v>
      </c>
    </row>
    <row r="484" spans="1:25" x14ac:dyDescent="0.3">
      <c r="A484" s="25">
        <v>17</v>
      </c>
      <c r="B484" s="11"/>
      <c r="C484" s="6" t="s">
        <v>2491</v>
      </c>
      <c r="D484" s="6" t="s">
        <v>2515</v>
      </c>
      <c r="E484" s="6" t="s">
        <v>2620</v>
      </c>
      <c r="F484" s="6">
        <v>1</v>
      </c>
      <c r="G484" s="6" t="s">
        <v>17</v>
      </c>
      <c r="H484" s="6" t="s">
        <v>17</v>
      </c>
      <c r="I484" s="6" t="s">
        <v>17</v>
      </c>
      <c r="J484" s="5"/>
      <c r="K484" s="5"/>
      <c r="L484" s="5"/>
      <c r="M484" s="5"/>
      <c r="N484" s="5"/>
      <c r="O484" s="5"/>
      <c r="P484" s="5"/>
      <c r="Q484" s="5"/>
      <c r="R484" s="5"/>
      <c r="S484" s="5"/>
      <c r="T484" s="5"/>
      <c r="V484" s="6"/>
      <c r="Y484" t="str">
        <f t="shared" si="1"/>
        <v>""</v>
      </c>
    </row>
    <row r="485" spans="1:25" x14ac:dyDescent="0.3">
      <c r="A485" s="25">
        <v>18</v>
      </c>
      <c r="B485" s="11" t="s">
        <v>2383</v>
      </c>
      <c r="C485" s="6" t="s">
        <v>1600</v>
      </c>
      <c r="D485" s="6" t="s">
        <v>2516</v>
      </c>
      <c r="E485" s="6" t="s">
        <v>2620</v>
      </c>
      <c r="F485" s="6">
        <v>1</v>
      </c>
      <c r="G485" s="6" t="s">
        <v>17</v>
      </c>
      <c r="H485" s="6" t="s">
        <v>17</v>
      </c>
      <c r="I485" s="6" t="s">
        <v>17</v>
      </c>
      <c r="J485" s="5"/>
      <c r="K485" s="5"/>
      <c r="L485" s="5"/>
      <c r="M485" s="5"/>
      <c r="N485" s="5"/>
      <c r="O485" s="5"/>
      <c r="P485" s="5"/>
      <c r="Q485" s="5"/>
      <c r="R485" s="5"/>
      <c r="S485" s="5"/>
      <c r="T485" s="5"/>
      <c r="V485" s="6"/>
      <c r="Y485" t="str">
        <f t="shared" si="1"/>
        <v>""</v>
      </c>
    </row>
    <row r="486" spans="1:25" x14ac:dyDescent="0.3">
      <c r="A486" s="25">
        <v>19</v>
      </c>
      <c r="B486" s="11" t="s">
        <v>1808</v>
      </c>
      <c r="C486" s="35" t="s">
        <v>2492</v>
      </c>
      <c r="D486" s="35" t="s">
        <v>2517</v>
      </c>
      <c r="E486" s="6" t="s">
        <v>2620</v>
      </c>
      <c r="F486" s="6">
        <v>1</v>
      </c>
      <c r="G486" s="6" t="s">
        <v>17</v>
      </c>
      <c r="H486" s="6" t="s">
        <v>17</v>
      </c>
      <c r="I486" s="6" t="s">
        <v>17</v>
      </c>
      <c r="J486" s="5"/>
      <c r="K486" s="5"/>
      <c r="L486" s="5"/>
      <c r="M486" s="5"/>
      <c r="N486" s="5"/>
      <c r="O486" s="5"/>
      <c r="P486" s="5"/>
      <c r="Q486" s="5"/>
      <c r="R486" s="5"/>
      <c r="S486" s="5"/>
      <c r="T486" s="5"/>
      <c r="V486" s="6"/>
      <c r="Y486" t="str">
        <f t="shared" si="1"/>
        <v>""</v>
      </c>
    </row>
    <row r="487" spans="1:25" x14ac:dyDescent="0.3">
      <c r="A487" s="25">
        <v>20</v>
      </c>
      <c r="B487" s="11"/>
      <c r="C487" s="6" t="s">
        <v>1681</v>
      </c>
      <c r="D487" s="6" t="s">
        <v>2518</v>
      </c>
      <c r="E487" s="6" t="s">
        <v>2620</v>
      </c>
      <c r="F487" s="6">
        <v>1</v>
      </c>
      <c r="G487" s="6" t="s">
        <v>17</v>
      </c>
      <c r="H487" s="6" t="s">
        <v>17</v>
      </c>
      <c r="I487" s="6" t="s">
        <v>17</v>
      </c>
      <c r="J487" s="5"/>
      <c r="K487" s="5"/>
      <c r="L487" s="5"/>
      <c r="M487" s="5"/>
      <c r="N487" s="5"/>
      <c r="O487" s="5"/>
      <c r="P487" s="5"/>
      <c r="Q487" s="5"/>
      <c r="R487" s="5"/>
      <c r="S487" s="5"/>
      <c r="T487" s="5"/>
      <c r="V487" s="6"/>
      <c r="Y487" t="str">
        <f t="shared" si="1"/>
        <v>""</v>
      </c>
    </row>
    <row r="488" spans="1:25" x14ac:dyDescent="0.3">
      <c r="A488" s="25">
        <v>21</v>
      </c>
      <c r="B488" s="11"/>
      <c r="C488" s="6" t="s">
        <v>2493</v>
      </c>
      <c r="D488" s="6" t="s">
        <v>2519</v>
      </c>
      <c r="E488" s="6" t="s">
        <v>2620</v>
      </c>
      <c r="F488" s="6">
        <v>1</v>
      </c>
      <c r="G488" s="6" t="s">
        <v>17</v>
      </c>
      <c r="H488" s="6" t="s">
        <v>17</v>
      </c>
      <c r="I488" s="6" t="s">
        <v>17</v>
      </c>
      <c r="J488" s="5"/>
      <c r="K488" s="5"/>
      <c r="L488" s="5"/>
      <c r="M488" s="5"/>
      <c r="N488" s="5"/>
      <c r="O488" s="5"/>
      <c r="P488" s="5"/>
      <c r="Q488" s="5"/>
      <c r="R488" s="5"/>
      <c r="S488" s="5"/>
      <c r="T488" s="5"/>
      <c r="V488" s="6"/>
      <c r="Y488" t="str">
        <f t="shared" si="1"/>
        <v>""</v>
      </c>
    </row>
    <row r="489" spans="1:25" x14ac:dyDescent="0.3">
      <c r="A489" s="25">
        <v>22</v>
      </c>
      <c r="B489" s="11"/>
      <c r="C489" s="6" t="s">
        <v>2498</v>
      </c>
      <c r="D489" s="6" t="s">
        <v>2520</v>
      </c>
      <c r="E489" s="6" t="s">
        <v>2620</v>
      </c>
      <c r="F489" s="6">
        <v>1</v>
      </c>
      <c r="G489" s="6" t="s">
        <v>17</v>
      </c>
      <c r="H489" s="6" t="s">
        <v>17</v>
      </c>
      <c r="I489" s="6" t="s">
        <v>17</v>
      </c>
      <c r="J489" s="5"/>
      <c r="K489" s="5"/>
      <c r="L489" s="5"/>
      <c r="M489" s="5"/>
      <c r="N489" s="5"/>
      <c r="O489" s="5"/>
      <c r="P489" s="5"/>
      <c r="Q489" s="5"/>
      <c r="R489" s="5"/>
      <c r="S489" s="5"/>
      <c r="T489" s="5"/>
      <c r="V489" s="6"/>
      <c r="Y489" t="str">
        <f t="shared" si="1"/>
        <v>""</v>
      </c>
    </row>
    <row r="490" spans="1:25" x14ac:dyDescent="0.3">
      <c r="A490" s="25">
        <v>23</v>
      </c>
      <c r="B490" s="11"/>
      <c r="C490" s="6" t="s">
        <v>2494</v>
      </c>
      <c r="D490" s="6" t="s">
        <v>2521</v>
      </c>
      <c r="E490" s="6" t="s">
        <v>2620</v>
      </c>
      <c r="F490" s="6">
        <v>1</v>
      </c>
      <c r="G490" s="6" t="s">
        <v>17</v>
      </c>
      <c r="H490" s="6" t="s">
        <v>17</v>
      </c>
      <c r="I490" s="6" t="s">
        <v>17</v>
      </c>
      <c r="J490" s="5"/>
      <c r="K490" s="5"/>
      <c r="L490" s="5"/>
      <c r="M490" s="5"/>
      <c r="N490" s="5"/>
      <c r="O490" s="5"/>
      <c r="P490" s="5"/>
      <c r="Q490" s="5"/>
      <c r="R490" s="5"/>
      <c r="S490" s="5"/>
      <c r="T490" s="5"/>
      <c r="V490" s="6"/>
      <c r="Y490" t="str">
        <f t="shared" si="1"/>
        <v>""</v>
      </c>
    </row>
    <row r="491" spans="1:25" x14ac:dyDescent="0.3">
      <c r="A491" s="25">
        <v>24</v>
      </c>
      <c r="B491" s="11"/>
      <c r="C491" s="6" t="s">
        <v>2495</v>
      </c>
      <c r="D491" s="6" t="s">
        <v>2522</v>
      </c>
      <c r="E491" s="6" t="s">
        <v>2620</v>
      </c>
      <c r="F491" s="6">
        <v>1</v>
      </c>
      <c r="G491" s="6" t="s">
        <v>17</v>
      </c>
      <c r="H491" s="6" t="s">
        <v>17</v>
      </c>
      <c r="I491" s="6" t="s">
        <v>17</v>
      </c>
      <c r="J491" s="5"/>
      <c r="K491" s="5"/>
      <c r="L491" s="5"/>
      <c r="M491" s="5"/>
      <c r="N491" s="5"/>
      <c r="O491" s="5"/>
      <c r="P491" s="5"/>
      <c r="Q491" s="5"/>
      <c r="R491" s="5"/>
      <c r="S491" s="5"/>
      <c r="T491" s="5"/>
      <c r="V491" s="6"/>
      <c r="Y491" t="str">
        <f t="shared" ref="Y491" si="2">CHAR(34)&amp;V491&amp;CHAR(34)</f>
        <v>""</v>
      </c>
    </row>
    <row r="492" spans="1:25" x14ac:dyDescent="0.3">
      <c r="A492" s="25">
        <v>25</v>
      </c>
      <c r="B492" s="11"/>
      <c r="C492" s="6" t="s">
        <v>2496</v>
      </c>
      <c r="D492" s="6" t="s">
        <v>2523</v>
      </c>
      <c r="E492" s="6" t="s">
        <v>2620</v>
      </c>
      <c r="F492" s="6">
        <v>1</v>
      </c>
      <c r="G492" s="6" t="s">
        <v>17</v>
      </c>
      <c r="H492" s="6" t="s">
        <v>17</v>
      </c>
      <c r="I492" s="6" t="s">
        <v>17</v>
      </c>
      <c r="J492" s="5"/>
      <c r="K492" s="5"/>
      <c r="L492" s="5"/>
      <c r="M492" s="5"/>
      <c r="N492" s="5"/>
      <c r="O492" s="5"/>
      <c r="P492" s="5"/>
      <c r="Q492" s="5"/>
      <c r="R492" s="5"/>
      <c r="S492" s="5"/>
      <c r="T492" s="5"/>
      <c r="V492" s="6"/>
      <c r="Y492" t="str">
        <f t="shared" si="1"/>
        <v>""</v>
      </c>
    </row>
    <row r="493" spans="1:25" x14ac:dyDescent="0.3">
      <c r="A493" s="25">
        <v>26</v>
      </c>
      <c r="B493" s="11"/>
      <c r="C493" s="6" t="s">
        <v>2497</v>
      </c>
      <c r="D493" s="6" t="s">
        <v>2524</v>
      </c>
      <c r="E493" s="6" t="s">
        <v>2620</v>
      </c>
      <c r="F493" s="6">
        <v>1</v>
      </c>
      <c r="G493" s="6" t="s">
        <v>17</v>
      </c>
      <c r="H493" s="6" t="s">
        <v>17</v>
      </c>
      <c r="I493" s="6" t="s">
        <v>17</v>
      </c>
      <c r="J493" s="5"/>
      <c r="K493" s="5"/>
      <c r="L493" s="5"/>
      <c r="M493" s="5"/>
      <c r="N493" s="5"/>
      <c r="O493" s="5"/>
      <c r="P493" s="5"/>
      <c r="Q493" s="5"/>
      <c r="R493" s="5"/>
      <c r="S493" s="5"/>
      <c r="T493" s="5"/>
      <c r="V493" s="6"/>
      <c r="Y493" t="str">
        <f t="shared" si="1"/>
        <v>""</v>
      </c>
    </row>
    <row r="494" spans="1:25" x14ac:dyDescent="0.3">
      <c r="A494" s="25">
        <v>27</v>
      </c>
      <c r="B494" s="11" t="s">
        <v>1601</v>
      </c>
      <c r="C494" s="6" t="s">
        <v>1602</v>
      </c>
      <c r="D494" s="6" t="s">
        <v>2525</v>
      </c>
      <c r="E494" s="6" t="s">
        <v>2620</v>
      </c>
      <c r="F494" s="6">
        <v>1</v>
      </c>
      <c r="G494" s="6" t="s">
        <v>17</v>
      </c>
      <c r="H494" s="6" t="s">
        <v>17</v>
      </c>
      <c r="I494" s="6" t="s">
        <v>17</v>
      </c>
      <c r="J494" s="5"/>
      <c r="K494" s="5"/>
      <c r="L494" s="5"/>
      <c r="M494" s="5"/>
      <c r="N494" s="5"/>
      <c r="O494" s="5"/>
      <c r="P494" s="5"/>
      <c r="Q494" s="5"/>
      <c r="R494" s="5"/>
      <c r="S494" s="5"/>
      <c r="T494" s="5"/>
      <c r="V494" s="6"/>
      <c r="Y494" t="str">
        <f t="shared" si="1"/>
        <v>""</v>
      </c>
    </row>
    <row r="495" spans="1:25" x14ac:dyDescent="0.3">
      <c r="B495" s="17"/>
      <c r="C495" s="5" t="s">
        <v>511</v>
      </c>
      <c r="D495" s="5"/>
      <c r="E495" s="5"/>
      <c r="F495" s="5"/>
      <c r="G495" s="5"/>
      <c r="H495" s="5"/>
      <c r="I495" s="5"/>
      <c r="J495" s="5"/>
      <c r="K495" s="5"/>
      <c r="L495" s="5"/>
      <c r="M495" s="5"/>
      <c r="N495" s="5"/>
      <c r="O495" s="5"/>
      <c r="P495" s="5"/>
    </row>
    <row r="496" spans="1:25" x14ac:dyDescent="0.3">
      <c r="B496" s="62" t="s">
        <v>1656</v>
      </c>
      <c r="C496" s="21" t="s">
        <v>585</v>
      </c>
      <c r="D496" s="21" t="s">
        <v>1029</v>
      </c>
      <c r="E496" s="21" t="s">
        <v>1030</v>
      </c>
      <c r="F496" s="21" t="s">
        <v>1031</v>
      </c>
      <c r="G496" s="5" t="s">
        <v>1032</v>
      </c>
      <c r="H496" s="5" t="s">
        <v>1033</v>
      </c>
      <c r="I496" s="5" t="s">
        <v>1034</v>
      </c>
      <c r="J496" s="5" t="s">
        <v>1035</v>
      </c>
      <c r="K496" s="5" t="s">
        <v>1036</v>
      </c>
      <c r="L496" s="5"/>
      <c r="M496" s="5"/>
      <c r="N496" s="5"/>
      <c r="O496" s="5"/>
      <c r="P496" s="5"/>
    </row>
    <row r="497" spans="1:16" x14ac:dyDescent="0.3">
      <c r="A497" s="25">
        <v>1</v>
      </c>
      <c r="B497" s="14" t="s">
        <v>586</v>
      </c>
      <c r="C497" s="6" t="s">
        <v>2526</v>
      </c>
      <c r="D497" s="6" t="s">
        <v>17</v>
      </c>
      <c r="E497" s="6" t="s">
        <v>17</v>
      </c>
      <c r="F497" s="6" t="s">
        <v>17</v>
      </c>
      <c r="G497" s="5"/>
      <c r="H497" s="5"/>
      <c r="I497" s="5"/>
      <c r="J497" s="5"/>
      <c r="K497" s="5"/>
      <c r="L497" s="5"/>
      <c r="M497" s="5"/>
      <c r="N497" s="5"/>
      <c r="O497" s="5"/>
      <c r="P497" s="5"/>
    </row>
    <row r="498" spans="1:16" x14ac:dyDescent="0.3">
      <c r="A498" s="25">
        <v>2</v>
      </c>
      <c r="B498" s="14" t="s">
        <v>587</v>
      </c>
      <c r="C498" s="6" t="s">
        <v>2527</v>
      </c>
      <c r="D498" s="6" t="s">
        <v>17</v>
      </c>
      <c r="E498" s="6" t="s">
        <v>17</v>
      </c>
      <c r="F498" s="6" t="s">
        <v>17</v>
      </c>
      <c r="G498" s="5"/>
      <c r="H498" s="5"/>
      <c r="I498" s="5"/>
      <c r="J498" s="5"/>
      <c r="K498" s="5"/>
      <c r="L498" s="5"/>
      <c r="M498" s="5"/>
      <c r="N498" s="5"/>
      <c r="O498" s="5"/>
      <c r="P498" s="5"/>
    </row>
    <row r="499" spans="1:16" x14ac:dyDescent="0.3">
      <c r="A499" s="25">
        <v>3</v>
      </c>
      <c r="B499" s="14" t="s">
        <v>588</v>
      </c>
      <c r="C499" s="6" t="s">
        <v>2528</v>
      </c>
      <c r="D499" s="6" t="s">
        <v>17</v>
      </c>
      <c r="E499" s="6" t="s">
        <v>17</v>
      </c>
      <c r="F499" s="6" t="s">
        <v>17</v>
      </c>
      <c r="G499" s="5"/>
      <c r="H499" s="5"/>
      <c r="I499" s="5"/>
      <c r="J499" s="5"/>
      <c r="K499" s="5"/>
      <c r="L499" s="5"/>
      <c r="M499" s="5"/>
      <c r="N499" s="5"/>
      <c r="O499" s="5"/>
      <c r="P499" s="5"/>
    </row>
    <row r="500" spans="1:16" x14ac:dyDescent="0.3">
      <c r="A500" s="25">
        <v>4</v>
      </c>
      <c r="B500" s="14" t="s">
        <v>589</v>
      </c>
      <c r="C500" s="6" t="s">
        <v>2529</v>
      </c>
      <c r="D500" s="6" t="s">
        <v>17</v>
      </c>
      <c r="E500" s="6" t="s">
        <v>17</v>
      </c>
      <c r="F500" s="6" t="s">
        <v>17</v>
      </c>
      <c r="G500" s="5"/>
      <c r="H500" s="5"/>
      <c r="I500" s="5"/>
      <c r="J500" s="5"/>
      <c r="K500" s="5"/>
      <c r="L500" s="5"/>
      <c r="M500" s="5"/>
      <c r="N500" s="5"/>
      <c r="O500" s="5"/>
      <c r="P500" s="5"/>
    </row>
    <row r="501" spans="1:16" x14ac:dyDescent="0.3">
      <c r="A501" s="25">
        <v>5</v>
      </c>
      <c r="B501" s="14" t="s">
        <v>590</v>
      </c>
      <c r="C501" s="6" t="s">
        <v>2530</v>
      </c>
      <c r="D501" s="6" t="s">
        <v>17</v>
      </c>
      <c r="E501" s="6" t="s">
        <v>17</v>
      </c>
      <c r="F501" s="6" t="s">
        <v>17</v>
      </c>
      <c r="G501" s="5"/>
      <c r="H501" s="5"/>
      <c r="I501" s="5"/>
      <c r="J501" s="5"/>
      <c r="K501" s="5"/>
      <c r="L501" s="5"/>
      <c r="M501" s="5"/>
      <c r="N501" s="5"/>
      <c r="O501" s="5"/>
      <c r="P501" s="5"/>
    </row>
    <row r="502" spans="1:16" x14ac:dyDescent="0.3">
      <c r="A502" s="25">
        <v>6</v>
      </c>
      <c r="B502" s="14" t="s">
        <v>591</v>
      </c>
      <c r="C502" s="6" t="s">
        <v>2531</v>
      </c>
      <c r="D502" s="6" t="s">
        <v>17</v>
      </c>
      <c r="E502" s="6" t="s">
        <v>17</v>
      </c>
      <c r="F502" s="6" t="s">
        <v>17</v>
      </c>
      <c r="G502" s="5"/>
      <c r="H502" s="5"/>
      <c r="I502" s="5"/>
      <c r="J502" s="5"/>
      <c r="K502" s="5"/>
      <c r="L502" s="5"/>
      <c r="M502" s="5"/>
      <c r="N502" s="5"/>
      <c r="O502" s="5"/>
      <c r="P502" s="5"/>
    </row>
    <row r="503" spans="1:16" x14ac:dyDescent="0.3">
      <c r="A503" s="25">
        <v>7</v>
      </c>
      <c r="B503" s="14" t="s">
        <v>592</v>
      </c>
      <c r="C503" s="6" t="s">
        <v>2532</v>
      </c>
      <c r="D503" s="6" t="s">
        <v>17</v>
      </c>
      <c r="E503" s="6" t="s">
        <v>17</v>
      </c>
      <c r="F503" s="6" t="s">
        <v>17</v>
      </c>
      <c r="G503" s="5"/>
      <c r="H503" s="5"/>
      <c r="I503" s="5"/>
      <c r="J503" s="5"/>
      <c r="K503" s="5"/>
      <c r="L503" s="5"/>
      <c r="M503" s="5"/>
      <c r="N503" s="5"/>
      <c r="O503" s="5"/>
      <c r="P503" s="5"/>
    </row>
    <row r="504" spans="1:16" x14ac:dyDescent="0.3">
      <c r="A504" s="25">
        <v>8</v>
      </c>
      <c r="B504" s="14" t="s">
        <v>593</v>
      </c>
      <c r="C504" s="6" t="s">
        <v>2533</v>
      </c>
      <c r="D504" s="6" t="s">
        <v>17</v>
      </c>
      <c r="E504" s="6" t="s">
        <v>17</v>
      </c>
      <c r="F504" s="6" t="s">
        <v>17</v>
      </c>
      <c r="G504" s="5"/>
      <c r="H504" s="5"/>
      <c r="I504" s="5"/>
      <c r="J504" s="5"/>
      <c r="K504" s="5"/>
      <c r="L504" s="5"/>
      <c r="M504" s="5"/>
      <c r="N504" s="5"/>
      <c r="O504" s="5"/>
      <c r="P504" s="5"/>
    </row>
    <row r="505" spans="1:16" x14ac:dyDescent="0.3">
      <c r="A505" s="25">
        <v>9</v>
      </c>
      <c r="B505" s="14" t="s">
        <v>594</v>
      </c>
      <c r="C505" s="35" t="s">
        <v>2534</v>
      </c>
      <c r="D505" s="6" t="s">
        <v>17</v>
      </c>
      <c r="E505" s="6" t="s">
        <v>17</v>
      </c>
      <c r="F505" s="6" t="s">
        <v>17</v>
      </c>
      <c r="G505" s="5"/>
      <c r="H505" s="5"/>
      <c r="I505" s="5"/>
      <c r="J505" s="5"/>
      <c r="K505" s="5"/>
      <c r="L505" s="5"/>
      <c r="M505" s="5"/>
      <c r="N505" s="5"/>
      <c r="O505" s="5"/>
      <c r="P505" s="5"/>
    </row>
    <row r="506" spans="1:16" x14ac:dyDescent="0.3">
      <c r="A506" s="25">
        <v>10</v>
      </c>
      <c r="B506" s="14" t="s">
        <v>595</v>
      </c>
      <c r="C506" s="6" t="s">
        <v>2535</v>
      </c>
      <c r="D506" s="6" t="s">
        <v>17</v>
      </c>
      <c r="E506" s="6" t="s">
        <v>17</v>
      </c>
      <c r="F506" s="6" t="s">
        <v>17</v>
      </c>
      <c r="G506" s="5"/>
      <c r="H506" s="5"/>
      <c r="I506" s="5"/>
      <c r="J506" s="5"/>
      <c r="K506" s="5"/>
      <c r="L506" s="5"/>
      <c r="M506" s="5"/>
      <c r="N506" s="5"/>
      <c r="O506" s="5"/>
      <c r="P506" s="5"/>
    </row>
    <row r="507" spans="1:16" x14ac:dyDescent="0.3">
      <c r="A507" s="25">
        <v>11</v>
      </c>
      <c r="B507" s="14" t="s">
        <v>596</v>
      </c>
      <c r="C507" s="6" t="s">
        <v>2536</v>
      </c>
      <c r="D507" s="6" t="s">
        <v>17</v>
      </c>
      <c r="E507" s="6" t="s">
        <v>17</v>
      </c>
      <c r="F507" s="6" t="s">
        <v>17</v>
      </c>
      <c r="G507" s="5"/>
      <c r="H507" s="5"/>
      <c r="I507" s="5"/>
      <c r="J507" s="5"/>
      <c r="K507" s="5"/>
      <c r="L507" s="5"/>
      <c r="M507" s="5"/>
      <c r="N507" s="5"/>
      <c r="O507" s="5"/>
      <c r="P507" s="5"/>
    </row>
    <row r="508" spans="1:16" x14ac:dyDescent="0.3">
      <c r="A508" s="25">
        <v>12</v>
      </c>
      <c r="B508" s="14" t="s">
        <v>597</v>
      </c>
      <c r="C508" s="6" t="s">
        <v>2537</v>
      </c>
      <c r="D508" s="6" t="s">
        <v>17</v>
      </c>
      <c r="E508" s="6" t="s">
        <v>17</v>
      </c>
      <c r="F508" s="6" t="s">
        <v>17</v>
      </c>
      <c r="G508" s="5"/>
      <c r="H508" s="5"/>
      <c r="I508" s="5"/>
      <c r="J508" s="5"/>
      <c r="K508" s="5"/>
      <c r="L508" s="5"/>
      <c r="M508" s="5"/>
      <c r="N508" s="5"/>
      <c r="O508" s="5"/>
      <c r="P508" s="5"/>
    </row>
    <row r="509" spans="1:16" x14ac:dyDescent="0.3">
      <c r="A509" s="25">
        <v>13</v>
      </c>
      <c r="B509" s="14" t="s">
        <v>598</v>
      </c>
      <c r="C509" s="6" t="s">
        <v>2538</v>
      </c>
      <c r="D509" s="6" t="s">
        <v>17</v>
      </c>
      <c r="E509" s="6" t="s">
        <v>17</v>
      </c>
      <c r="F509" s="6" t="s">
        <v>17</v>
      </c>
      <c r="G509" s="5"/>
      <c r="H509" s="5"/>
      <c r="I509" s="5"/>
      <c r="J509" s="5"/>
      <c r="K509" s="5"/>
      <c r="L509" s="5"/>
      <c r="M509" s="5"/>
      <c r="N509" s="5"/>
      <c r="O509" s="5"/>
      <c r="P509" s="5"/>
    </row>
    <row r="510" spans="1:16" x14ac:dyDescent="0.3">
      <c r="A510" s="25">
        <v>14</v>
      </c>
      <c r="B510" s="14" t="s">
        <v>599</v>
      </c>
      <c r="C510" s="6" t="s">
        <v>2539</v>
      </c>
      <c r="D510" s="6" t="s">
        <v>17</v>
      </c>
      <c r="E510" s="6" t="s">
        <v>17</v>
      </c>
      <c r="F510" s="6" t="s">
        <v>17</v>
      </c>
      <c r="G510" s="5"/>
      <c r="H510" s="5"/>
      <c r="I510" s="5"/>
      <c r="J510" s="5"/>
      <c r="K510" s="5"/>
      <c r="L510" s="5"/>
      <c r="M510" s="5"/>
      <c r="N510" s="5"/>
      <c r="O510" s="5"/>
      <c r="P510" s="5"/>
    </row>
    <row r="511" spans="1:16" x14ac:dyDescent="0.3">
      <c r="A511" s="25">
        <v>15</v>
      </c>
      <c r="B511" s="14" t="s">
        <v>600</v>
      </c>
      <c r="C511" s="6" t="s">
        <v>2540</v>
      </c>
      <c r="D511" s="6" t="s">
        <v>17</v>
      </c>
      <c r="E511" s="6" t="s">
        <v>17</v>
      </c>
      <c r="F511" s="6" t="s">
        <v>17</v>
      </c>
      <c r="G511" s="5"/>
      <c r="H511" s="5"/>
      <c r="I511" s="5"/>
      <c r="J511" s="5"/>
      <c r="K511" s="5"/>
      <c r="L511" s="5"/>
      <c r="M511" s="5"/>
      <c r="N511" s="5"/>
      <c r="O511" s="5"/>
      <c r="P511" s="5"/>
    </row>
    <row r="512" spans="1:16" x14ac:dyDescent="0.3">
      <c r="A512" s="25">
        <v>16</v>
      </c>
      <c r="B512" s="14" t="s">
        <v>601</v>
      </c>
      <c r="C512" s="6" t="s">
        <v>2541</v>
      </c>
      <c r="D512" s="6" t="s">
        <v>17</v>
      </c>
      <c r="E512" s="6" t="s">
        <v>17</v>
      </c>
      <c r="F512" s="6" t="s">
        <v>17</v>
      </c>
      <c r="G512" s="5"/>
      <c r="H512" s="5"/>
      <c r="I512" s="5"/>
      <c r="J512" s="5"/>
      <c r="K512" s="5"/>
      <c r="L512" s="5"/>
      <c r="M512" s="5"/>
      <c r="N512" s="5"/>
      <c r="O512" s="5"/>
      <c r="P512" s="5"/>
    </row>
    <row r="513" spans="1:16" x14ac:dyDescent="0.3">
      <c r="A513" s="25">
        <v>17</v>
      </c>
      <c r="B513" s="14" t="s">
        <v>602</v>
      </c>
      <c r="C513" s="6" t="s">
        <v>2542</v>
      </c>
      <c r="D513" s="6" t="s">
        <v>17</v>
      </c>
      <c r="E513" s="6" t="s">
        <v>17</v>
      </c>
      <c r="F513" s="6" t="s">
        <v>17</v>
      </c>
      <c r="G513" s="5"/>
      <c r="H513" s="5"/>
      <c r="I513" s="5"/>
      <c r="J513" s="5"/>
      <c r="K513" s="5"/>
      <c r="L513" s="5"/>
      <c r="M513" s="5"/>
      <c r="N513" s="5"/>
      <c r="O513" s="5"/>
      <c r="P513" s="5"/>
    </row>
    <row r="514" spans="1:16" x14ac:dyDescent="0.3">
      <c r="A514" s="25">
        <v>18</v>
      </c>
      <c r="B514" s="14" t="s">
        <v>603</v>
      </c>
      <c r="C514" s="6" t="s">
        <v>2543</v>
      </c>
      <c r="D514" s="6" t="s">
        <v>17</v>
      </c>
      <c r="E514" s="6" t="s">
        <v>17</v>
      </c>
      <c r="F514" s="6" t="s">
        <v>17</v>
      </c>
      <c r="G514" s="5"/>
      <c r="H514" s="5"/>
      <c r="I514" s="5"/>
      <c r="J514" s="5"/>
      <c r="K514" s="5"/>
      <c r="L514" s="5"/>
      <c r="M514" s="5"/>
      <c r="N514" s="5"/>
      <c r="O514" s="5"/>
      <c r="P514" s="5"/>
    </row>
    <row r="515" spans="1:16" x14ac:dyDescent="0.3">
      <c r="A515" s="25">
        <v>19</v>
      </c>
      <c r="B515" s="14" t="s">
        <v>604</v>
      </c>
      <c r="C515" s="6" t="s">
        <v>2544</v>
      </c>
      <c r="D515" s="6" t="s">
        <v>17</v>
      </c>
      <c r="E515" s="6" t="s">
        <v>17</v>
      </c>
      <c r="F515" s="6" t="s">
        <v>17</v>
      </c>
      <c r="G515" s="5"/>
      <c r="H515" s="5"/>
      <c r="I515" s="5"/>
      <c r="J515" s="5"/>
      <c r="K515" s="5"/>
      <c r="L515" s="5"/>
      <c r="M515" s="5"/>
      <c r="N515" s="5"/>
      <c r="O515" s="5"/>
      <c r="P515" s="5"/>
    </row>
    <row r="516" spans="1:16" x14ac:dyDescent="0.3">
      <c r="A516" s="25">
        <v>20</v>
      </c>
      <c r="B516" s="14" t="s">
        <v>605</v>
      </c>
      <c r="C516" s="6" t="s">
        <v>2545</v>
      </c>
      <c r="D516" s="6" t="s">
        <v>17</v>
      </c>
      <c r="E516" s="6" t="s">
        <v>17</v>
      </c>
      <c r="F516" s="6" t="s">
        <v>17</v>
      </c>
      <c r="G516" s="5"/>
      <c r="H516" s="5"/>
      <c r="I516" s="5"/>
      <c r="J516" s="5"/>
      <c r="K516" s="5"/>
      <c r="L516" s="5"/>
      <c r="M516" s="5"/>
      <c r="N516" s="5"/>
      <c r="O516" s="5"/>
      <c r="P516" s="5"/>
    </row>
    <row r="517" spans="1:16" x14ac:dyDescent="0.3">
      <c r="A517" s="25">
        <v>21</v>
      </c>
      <c r="B517" s="14" t="s">
        <v>606</v>
      </c>
      <c r="C517" s="6" t="s">
        <v>2546</v>
      </c>
      <c r="D517" s="6" t="s">
        <v>17</v>
      </c>
      <c r="E517" s="6" t="s">
        <v>17</v>
      </c>
      <c r="F517" s="6" t="s">
        <v>17</v>
      </c>
      <c r="G517" s="5"/>
      <c r="H517" s="5"/>
      <c r="I517" s="5"/>
      <c r="J517" s="5"/>
      <c r="K517" s="5"/>
      <c r="L517" s="5"/>
      <c r="M517" s="5"/>
      <c r="N517" s="5"/>
      <c r="O517" s="5"/>
      <c r="P517" s="5"/>
    </row>
    <row r="518" spans="1:16" x14ac:dyDescent="0.3">
      <c r="A518" s="25">
        <v>22</v>
      </c>
      <c r="B518" s="14" t="s">
        <v>607</v>
      </c>
      <c r="C518" s="6" t="s">
        <v>2547</v>
      </c>
      <c r="D518" s="6" t="s">
        <v>17</v>
      </c>
      <c r="E518" s="6" t="s">
        <v>17</v>
      </c>
      <c r="F518" s="6" t="s">
        <v>17</v>
      </c>
      <c r="G518" s="5"/>
      <c r="H518" s="5"/>
      <c r="I518" s="5"/>
      <c r="J518" s="5"/>
      <c r="K518" s="5"/>
      <c r="L518" s="5"/>
      <c r="M518" s="5"/>
      <c r="N518" s="5"/>
      <c r="O518" s="5"/>
      <c r="P518" s="5"/>
    </row>
    <row r="519" spans="1:16" x14ac:dyDescent="0.3">
      <c r="A519" s="25">
        <v>23</v>
      </c>
      <c r="B519" s="14" t="s">
        <v>608</v>
      </c>
      <c r="C519" s="6" t="s">
        <v>2548</v>
      </c>
      <c r="D519" s="6" t="s">
        <v>17</v>
      </c>
      <c r="E519" s="6" t="s">
        <v>17</v>
      </c>
      <c r="F519" s="6" t="s">
        <v>17</v>
      </c>
      <c r="G519" s="5"/>
      <c r="H519" s="5"/>
      <c r="I519" s="5"/>
      <c r="J519" s="5"/>
      <c r="K519" s="5"/>
      <c r="L519" s="5"/>
      <c r="M519" s="5"/>
      <c r="N519" s="5"/>
      <c r="O519" s="5"/>
      <c r="P519" s="5"/>
    </row>
    <row r="520" spans="1:16" x14ac:dyDescent="0.3">
      <c r="A520" s="25">
        <v>24</v>
      </c>
      <c r="B520" s="14" t="s">
        <v>609</v>
      </c>
      <c r="C520" s="6" t="s">
        <v>2549</v>
      </c>
      <c r="D520" s="6" t="s">
        <v>17</v>
      </c>
      <c r="E520" s="6" t="s">
        <v>17</v>
      </c>
      <c r="F520" s="6" t="s">
        <v>17</v>
      </c>
      <c r="G520" s="5"/>
      <c r="H520" s="5"/>
      <c r="I520" s="5"/>
      <c r="J520" s="5"/>
      <c r="K520" s="5"/>
      <c r="L520" s="5"/>
      <c r="M520" s="5"/>
      <c r="N520" s="5"/>
      <c r="O520" s="5"/>
      <c r="P520" s="5"/>
    </row>
    <row r="521" spans="1:16" x14ac:dyDescent="0.3">
      <c r="A521" s="25">
        <v>25</v>
      </c>
      <c r="B521" s="14" t="s">
        <v>610</v>
      </c>
      <c r="C521" s="6" t="s">
        <v>2550</v>
      </c>
      <c r="D521" s="6" t="s">
        <v>17</v>
      </c>
      <c r="E521" s="6" t="s">
        <v>17</v>
      </c>
      <c r="F521" s="6" t="s">
        <v>17</v>
      </c>
      <c r="G521" s="5"/>
      <c r="H521" s="5"/>
      <c r="I521" s="5"/>
      <c r="J521" s="5"/>
      <c r="K521" s="5"/>
      <c r="L521" s="5"/>
      <c r="M521" s="5"/>
      <c r="N521" s="5"/>
      <c r="O521" s="5"/>
      <c r="P521" s="5"/>
    </row>
    <row r="522" spans="1:16" x14ac:dyDescent="0.3">
      <c r="A522" s="25">
        <v>26</v>
      </c>
      <c r="B522" s="14" t="s">
        <v>611</v>
      </c>
      <c r="C522" s="6" t="s">
        <v>2551</v>
      </c>
      <c r="D522" s="6" t="s">
        <v>17</v>
      </c>
      <c r="E522" s="6" t="s">
        <v>17</v>
      </c>
      <c r="F522" s="6" t="s">
        <v>17</v>
      </c>
      <c r="G522" s="5"/>
      <c r="H522" s="5"/>
      <c r="I522" s="5"/>
      <c r="J522" s="5"/>
      <c r="K522" s="5"/>
      <c r="L522" s="5"/>
      <c r="M522" s="5"/>
      <c r="N522" s="5"/>
      <c r="O522" s="5"/>
      <c r="P522" s="5"/>
    </row>
    <row r="523" spans="1:16" x14ac:dyDescent="0.3">
      <c r="A523" s="25">
        <v>27</v>
      </c>
      <c r="B523" s="14" t="s">
        <v>1531</v>
      </c>
      <c r="C523" s="6" t="s">
        <v>1532</v>
      </c>
      <c r="D523" s="6" t="s">
        <v>17</v>
      </c>
      <c r="E523" s="6" t="s">
        <v>17</v>
      </c>
      <c r="F523" s="6" t="s">
        <v>17</v>
      </c>
      <c r="G523" s="5"/>
      <c r="H523" s="5"/>
      <c r="I523" s="5"/>
      <c r="J523" s="5"/>
      <c r="K523" s="5"/>
      <c r="L523" s="5"/>
      <c r="M523" s="5"/>
      <c r="N523" s="5"/>
      <c r="O523" s="5"/>
      <c r="P523" s="5"/>
    </row>
    <row r="524" spans="1:16" x14ac:dyDescent="0.3">
      <c r="A524" s="25">
        <v>28</v>
      </c>
      <c r="B524" s="14" t="s">
        <v>612</v>
      </c>
      <c r="C524" s="6" t="s">
        <v>2552</v>
      </c>
      <c r="D524" s="6" t="s">
        <v>17</v>
      </c>
      <c r="E524" s="6" t="s">
        <v>17</v>
      </c>
      <c r="F524" s="6" t="s">
        <v>17</v>
      </c>
      <c r="G524" s="5"/>
      <c r="H524" s="5"/>
      <c r="I524" s="5"/>
      <c r="J524" s="5"/>
      <c r="K524" s="5"/>
      <c r="L524" s="5"/>
      <c r="M524" s="5"/>
      <c r="N524" s="5"/>
      <c r="O524" s="5"/>
      <c r="P524" s="5"/>
    </row>
    <row r="525" spans="1:16" x14ac:dyDescent="0.3">
      <c r="A525" s="25">
        <v>29</v>
      </c>
      <c r="B525" s="14" t="s">
        <v>613</v>
      </c>
      <c r="C525" s="6" t="s">
        <v>2553</v>
      </c>
      <c r="D525" s="6" t="s">
        <v>17</v>
      </c>
      <c r="E525" s="6" t="s">
        <v>17</v>
      </c>
      <c r="F525" s="6" t="s">
        <v>17</v>
      </c>
      <c r="G525" s="5"/>
      <c r="H525" s="5"/>
      <c r="I525" s="5"/>
      <c r="J525" s="5"/>
      <c r="K525" s="5"/>
      <c r="L525" s="5"/>
      <c r="M525" s="5"/>
      <c r="N525" s="5"/>
      <c r="O525" s="5"/>
      <c r="P525" s="5"/>
    </row>
    <row r="526" spans="1:16" x14ac:dyDescent="0.3">
      <c r="A526" s="25">
        <v>30</v>
      </c>
      <c r="B526" s="14" t="s">
        <v>614</v>
      </c>
      <c r="C526" s="6" t="s">
        <v>2554</v>
      </c>
      <c r="D526" s="6" t="s">
        <v>17</v>
      </c>
      <c r="E526" s="6" t="s">
        <v>17</v>
      </c>
      <c r="F526" s="6" t="s">
        <v>17</v>
      </c>
      <c r="G526" s="5"/>
      <c r="H526" s="5"/>
      <c r="I526" s="5"/>
      <c r="J526" s="5"/>
      <c r="K526" s="5"/>
      <c r="L526" s="5"/>
      <c r="M526" s="5"/>
      <c r="N526" s="5"/>
      <c r="O526" s="5"/>
      <c r="P526" s="5"/>
    </row>
    <row r="527" spans="1:16" x14ac:dyDescent="0.3">
      <c r="A527" s="25">
        <v>31</v>
      </c>
      <c r="B527" s="14" t="s">
        <v>615</v>
      </c>
      <c r="C527" s="6" t="s">
        <v>2555</v>
      </c>
      <c r="D527" s="6" t="s">
        <v>17</v>
      </c>
      <c r="E527" s="6" t="s">
        <v>17</v>
      </c>
      <c r="F527" s="6" t="s">
        <v>17</v>
      </c>
      <c r="G527" s="5"/>
      <c r="H527" s="5"/>
      <c r="I527" s="5"/>
      <c r="J527" s="5"/>
      <c r="K527" s="5"/>
      <c r="L527" s="5"/>
      <c r="M527" s="5"/>
      <c r="N527" s="5"/>
      <c r="O527" s="5"/>
      <c r="P527" s="5"/>
    </row>
    <row r="528" spans="1:16" x14ac:dyDescent="0.3">
      <c r="A528" s="25">
        <v>32</v>
      </c>
      <c r="B528" s="14" t="s">
        <v>616</v>
      </c>
      <c r="C528" s="6" t="s">
        <v>2556</v>
      </c>
      <c r="D528" s="6" t="s">
        <v>17</v>
      </c>
      <c r="E528" s="6" t="s">
        <v>17</v>
      </c>
      <c r="F528" s="6" t="s">
        <v>17</v>
      </c>
      <c r="G528" s="5"/>
      <c r="H528" s="5"/>
      <c r="I528" s="5"/>
      <c r="J528" s="5"/>
      <c r="K528" s="5"/>
      <c r="L528" s="5"/>
      <c r="M528" s="5"/>
      <c r="N528" s="5"/>
      <c r="O528" s="5"/>
      <c r="P528" s="5"/>
    </row>
    <row r="529" spans="1:16" x14ac:dyDescent="0.3">
      <c r="A529" s="25">
        <v>33</v>
      </c>
      <c r="B529" s="14" t="s">
        <v>617</v>
      </c>
      <c r="C529" s="6" t="s">
        <v>2557</v>
      </c>
      <c r="D529" s="6" t="s">
        <v>17</v>
      </c>
      <c r="E529" s="6" t="s">
        <v>17</v>
      </c>
      <c r="F529" s="6" t="s">
        <v>17</v>
      </c>
      <c r="G529" s="5"/>
      <c r="H529" s="5"/>
      <c r="I529" s="5"/>
      <c r="J529" s="5"/>
      <c r="K529" s="5"/>
      <c r="L529" s="5"/>
      <c r="M529" s="5"/>
      <c r="N529" s="5"/>
      <c r="O529" s="5"/>
      <c r="P529" s="5"/>
    </row>
    <row r="530" spans="1:16" x14ac:dyDescent="0.3">
      <c r="A530" s="25">
        <v>34</v>
      </c>
      <c r="B530" s="14" t="s">
        <v>618</v>
      </c>
      <c r="C530" s="6" t="s">
        <v>2592</v>
      </c>
      <c r="D530" s="6" t="s">
        <v>17</v>
      </c>
      <c r="E530" s="6" t="s">
        <v>17</v>
      </c>
      <c r="F530" s="6" t="s">
        <v>17</v>
      </c>
      <c r="G530" s="5"/>
      <c r="H530" s="5"/>
      <c r="I530" s="5"/>
      <c r="J530" s="5"/>
      <c r="K530" s="5"/>
      <c r="L530" s="5"/>
      <c r="M530" s="5"/>
      <c r="N530" s="5"/>
      <c r="O530" s="5"/>
      <c r="P530" s="5"/>
    </row>
    <row r="531" spans="1:16" x14ac:dyDescent="0.3">
      <c r="A531" s="25">
        <v>35</v>
      </c>
      <c r="B531" s="14" t="s">
        <v>619</v>
      </c>
      <c r="C531" s="35" t="s">
        <v>2558</v>
      </c>
      <c r="D531" s="6" t="s">
        <v>17</v>
      </c>
      <c r="E531" s="6" t="s">
        <v>17</v>
      </c>
      <c r="F531" s="6" t="s">
        <v>17</v>
      </c>
      <c r="G531" s="5"/>
      <c r="H531" s="5"/>
      <c r="I531" s="5"/>
      <c r="J531" s="5"/>
      <c r="K531" s="5"/>
      <c r="L531" s="5"/>
      <c r="M531" s="5"/>
      <c r="N531" s="5"/>
      <c r="O531" s="5"/>
      <c r="P531" s="5"/>
    </row>
    <row r="532" spans="1:16" x14ac:dyDescent="0.3">
      <c r="A532" s="25">
        <v>36</v>
      </c>
      <c r="B532" s="14" t="s">
        <v>620</v>
      </c>
      <c r="C532" s="6" t="s">
        <v>2559</v>
      </c>
      <c r="D532" s="6" t="s">
        <v>17</v>
      </c>
      <c r="E532" s="6" t="s">
        <v>17</v>
      </c>
      <c r="F532" s="6" t="s">
        <v>17</v>
      </c>
      <c r="G532" s="5"/>
      <c r="H532" s="5"/>
      <c r="I532" s="5"/>
      <c r="J532" s="5"/>
      <c r="K532" s="5"/>
      <c r="L532" s="5"/>
      <c r="M532" s="5"/>
      <c r="N532" s="5"/>
      <c r="O532" s="5"/>
      <c r="P532" s="5"/>
    </row>
    <row r="533" spans="1:16" x14ac:dyDescent="0.3">
      <c r="A533" s="25">
        <v>37</v>
      </c>
      <c r="B533" s="14" t="s">
        <v>621</v>
      </c>
      <c r="C533" s="6" t="s">
        <v>2560</v>
      </c>
      <c r="D533" s="6" t="s">
        <v>17</v>
      </c>
      <c r="E533" s="6" t="s">
        <v>17</v>
      </c>
      <c r="F533" s="6" t="s">
        <v>17</v>
      </c>
      <c r="G533" s="5"/>
      <c r="H533" s="5"/>
      <c r="I533" s="5"/>
      <c r="J533" s="5"/>
      <c r="K533" s="5"/>
      <c r="L533" s="5"/>
      <c r="M533" s="5"/>
      <c r="N533" s="5"/>
      <c r="O533" s="5"/>
      <c r="P533" s="5"/>
    </row>
    <row r="534" spans="1:16" x14ac:dyDescent="0.3">
      <c r="A534" s="25">
        <v>38</v>
      </c>
      <c r="B534" s="14" t="s">
        <v>622</v>
      </c>
      <c r="C534" s="6" t="s">
        <v>2593</v>
      </c>
      <c r="D534" s="6" t="s">
        <v>17</v>
      </c>
      <c r="E534" s="6" t="s">
        <v>17</v>
      </c>
      <c r="F534" s="6" t="s">
        <v>17</v>
      </c>
      <c r="G534" s="5"/>
      <c r="H534" s="5"/>
      <c r="I534" s="5"/>
      <c r="J534" s="5"/>
      <c r="K534" s="5"/>
      <c r="L534" s="5"/>
      <c r="M534" s="5"/>
      <c r="N534" s="5"/>
      <c r="O534" s="5"/>
      <c r="P534" s="5"/>
    </row>
    <row r="535" spans="1:16" x14ac:dyDescent="0.3">
      <c r="A535" s="25">
        <v>39</v>
      </c>
      <c r="B535" s="14" t="s">
        <v>623</v>
      </c>
      <c r="C535" s="6" t="s">
        <v>2594</v>
      </c>
      <c r="D535" s="6" t="s">
        <v>17</v>
      </c>
      <c r="E535" s="6" t="s">
        <v>17</v>
      </c>
      <c r="F535" s="6" t="s">
        <v>17</v>
      </c>
      <c r="G535" s="5"/>
      <c r="H535" s="5"/>
      <c r="I535" s="5"/>
      <c r="J535" s="5"/>
      <c r="K535" s="5"/>
      <c r="L535" s="5"/>
      <c r="M535" s="5"/>
      <c r="N535" s="5"/>
      <c r="O535" s="5"/>
      <c r="P535" s="5"/>
    </row>
    <row r="536" spans="1:16" x14ac:dyDescent="0.3">
      <c r="A536" s="25">
        <v>40</v>
      </c>
      <c r="B536" s="14" t="s">
        <v>624</v>
      </c>
      <c r="C536" s="6" t="s">
        <v>2595</v>
      </c>
      <c r="D536" s="6" t="s">
        <v>17</v>
      </c>
      <c r="E536" s="6" t="s">
        <v>17</v>
      </c>
      <c r="F536" s="6" t="s">
        <v>17</v>
      </c>
      <c r="G536" s="5"/>
      <c r="H536" s="5"/>
      <c r="I536" s="5"/>
      <c r="J536" s="5"/>
      <c r="K536" s="5"/>
      <c r="L536" s="5"/>
      <c r="M536" s="5"/>
      <c r="N536" s="5"/>
      <c r="O536" s="5"/>
      <c r="P536" s="5"/>
    </row>
    <row r="537" spans="1:16" x14ac:dyDescent="0.3">
      <c r="A537" s="25">
        <v>41</v>
      </c>
      <c r="B537" s="14" t="s">
        <v>625</v>
      </c>
      <c r="C537" s="6" t="s">
        <v>2561</v>
      </c>
      <c r="D537" s="6" t="s">
        <v>17</v>
      </c>
      <c r="E537" s="6" t="s">
        <v>17</v>
      </c>
      <c r="F537" s="6" t="s">
        <v>17</v>
      </c>
      <c r="G537" s="5"/>
      <c r="H537" s="5"/>
      <c r="I537" s="5"/>
      <c r="J537" s="5"/>
      <c r="K537" s="5"/>
      <c r="L537" s="5"/>
      <c r="M537" s="5"/>
      <c r="N537" s="5"/>
      <c r="O537" s="5"/>
      <c r="P537" s="5"/>
    </row>
    <row r="538" spans="1:16" x14ac:dyDescent="0.3">
      <c r="A538" s="25">
        <v>42</v>
      </c>
      <c r="B538" s="14" t="s">
        <v>626</v>
      </c>
      <c r="C538" s="6" t="s">
        <v>2562</v>
      </c>
      <c r="D538" s="6" t="s">
        <v>17</v>
      </c>
      <c r="E538" s="6" t="s">
        <v>17</v>
      </c>
      <c r="F538" s="6" t="s">
        <v>17</v>
      </c>
      <c r="G538" s="5"/>
      <c r="H538" s="5"/>
      <c r="I538" s="5"/>
      <c r="J538" s="5"/>
      <c r="K538" s="5"/>
      <c r="L538" s="5"/>
      <c r="M538" s="5"/>
      <c r="N538" s="5"/>
      <c r="O538" s="5"/>
      <c r="P538" s="5"/>
    </row>
    <row r="539" spans="1:16" x14ac:dyDescent="0.3">
      <c r="A539" s="25">
        <v>43</v>
      </c>
      <c r="B539" s="14" t="s">
        <v>627</v>
      </c>
      <c r="C539" s="6" t="s">
        <v>2563</v>
      </c>
      <c r="D539" s="6" t="s">
        <v>17</v>
      </c>
      <c r="E539" s="6" t="s">
        <v>17</v>
      </c>
      <c r="F539" s="6" t="s">
        <v>17</v>
      </c>
      <c r="G539" s="5"/>
      <c r="H539" s="5"/>
      <c r="I539" s="5"/>
      <c r="J539" s="5"/>
      <c r="K539" s="5"/>
      <c r="L539" s="5"/>
      <c r="M539" s="5"/>
      <c r="N539" s="5"/>
      <c r="O539" s="5"/>
      <c r="P539" s="5"/>
    </row>
    <row r="540" spans="1:16" x14ac:dyDescent="0.3">
      <c r="A540" s="25">
        <v>44</v>
      </c>
      <c r="B540" s="14" t="s">
        <v>628</v>
      </c>
      <c r="C540" s="6" t="s">
        <v>2564</v>
      </c>
      <c r="D540" s="6" t="s">
        <v>17</v>
      </c>
      <c r="E540" s="6" t="s">
        <v>17</v>
      </c>
      <c r="F540" s="6" t="s">
        <v>17</v>
      </c>
      <c r="G540" s="5"/>
      <c r="H540" s="5"/>
      <c r="I540" s="5"/>
      <c r="J540" s="5"/>
      <c r="K540" s="5"/>
      <c r="L540" s="5"/>
      <c r="M540" s="5"/>
      <c r="N540" s="5"/>
      <c r="O540" s="5"/>
      <c r="P540" s="5"/>
    </row>
    <row r="541" spans="1:16" x14ac:dyDescent="0.3">
      <c r="A541" s="25">
        <v>45</v>
      </c>
      <c r="B541" s="14" t="s">
        <v>629</v>
      </c>
      <c r="C541" s="6" t="s">
        <v>2565</v>
      </c>
      <c r="D541" s="6" t="s">
        <v>17</v>
      </c>
      <c r="E541" s="6" t="s">
        <v>17</v>
      </c>
      <c r="F541" s="6" t="s">
        <v>17</v>
      </c>
      <c r="G541" s="5"/>
      <c r="H541" s="5"/>
      <c r="I541" s="5"/>
      <c r="J541" s="5"/>
      <c r="K541" s="5"/>
      <c r="L541" s="5"/>
      <c r="M541" s="5"/>
      <c r="N541" s="5"/>
      <c r="O541" s="5"/>
      <c r="P541" s="5"/>
    </row>
    <row r="542" spans="1:16" x14ac:dyDescent="0.3">
      <c r="A542" s="25">
        <v>46</v>
      </c>
      <c r="B542" s="14" t="s">
        <v>630</v>
      </c>
      <c r="C542" s="6" t="s">
        <v>2566</v>
      </c>
      <c r="D542" s="6" t="s">
        <v>17</v>
      </c>
      <c r="E542" s="6" t="s">
        <v>17</v>
      </c>
      <c r="F542" s="6" t="s">
        <v>17</v>
      </c>
      <c r="G542" s="5"/>
      <c r="H542" s="5"/>
      <c r="I542" s="5"/>
      <c r="J542" s="5"/>
      <c r="K542" s="5"/>
      <c r="L542" s="5"/>
      <c r="M542" s="5"/>
      <c r="N542" s="5"/>
      <c r="O542" s="5"/>
      <c r="P542" s="5"/>
    </row>
    <row r="543" spans="1:16" x14ac:dyDescent="0.3">
      <c r="A543" s="25">
        <v>47</v>
      </c>
      <c r="B543" s="14" t="s">
        <v>631</v>
      </c>
      <c r="C543" s="6" t="s">
        <v>2567</v>
      </c>
      <c r="D543" s="6" t="s">
        <v>17</v>
      </c>
      <c r="E543" s="6" t="s">
        <v>17</v>
      </c>
      <c r="F543" s="6" t="s">
        <v>17</v>
      </c>
      <c r="G543" s="5"/>
      <c r="H543" s="5"/>
      <c r="I543" s="5"/>
      <c r="J543" s="5"/>
      <c r="K543" s="5"/>
      <c r="L543" s="5"/>
      <c r="M543" s="5"/>
      <c r="N543" s="5"/>
      <c r="O543" s="5"/>
      <c r="P543" s="5"/>
    </row>
    <row r="544" spans="1:16" x14ac:dyDescent="0.3">
      <c r="A544" s="25">
        <v>48</v>
      </c>
      <c r="B544" s="14" t="s">
        <v>632</v>
      </c>
      <c r="C544" s="6" t="s">
        <v>2568</v>
      </c>
      <c r="D544" s="6" t="s">
        <v>17</v>
      </c>
      <c r="E544" s="6" t="s">
        <v>17</v>
      </c>
      <c r="F544" s="6" t="s">
        <v>17</v>
      </c>
      <c r="G544" s="5"/>
      <c r="H544" s="5"/>
      <c r="I544" s="5"/>
      <c r="J544" s="5"/>
      <c r="K544" s="5"/>
      <c r="L544" s="5"/>
      <c r="M544" s="5"/>
      <c r="N544" s="5"/>
      <c r="O544" s="5"/>
      <c r="P544" s="5"/>
    </row>
    <row r="545" spans="1:16" x14ac:dyDescent="0.3">
      <c r="A545" s="25">
        <v>49</v>
      </c>
      <c r="B545" s="14" t="s">
        <v>633</v>
      </c>
      <c r="C545" s="6" t="s">
        <v>2569</v>
      </c>
      <c r="D545" s="6" t="s">
        <v>17</v>
      </c>
      <c r="E545" s="6" t="s">
        <v>17</v>
      </c>
      <c r="F545" s="6" t="s">
        <v>17</v>
      </c>
      <c r="G545" s="5"/>
      <c r="H545" s="5"/>
      <c r="I545" s="5"/>
      <c r="J545" s="5"/>
      <c r="K545" s="5"/>
      <c r="L545" s="5"/>
      <c r="M545" s="5"/>
      <c r="N545" s="5"/>
      <c r="O545" s="5"/>
      <c r="P545" s="5"/>
    </row>
    <row r="546" spans="1:16" x14ac:dyDescent="0.3">
      <c r="A546" s="25">
        <v>50</v>
      </c>
      <c r="B546" s="14" t="s">
        <v>634</v>
      </c>
      <c r="C546" s="6" t="s">
        <v>2570</v>
      </c>
      <c r="D546" s="6" t="s">
        <v>17</v>
      </c>
      <c r="E546" s="6" t="s">
        <v>17</v>
      </c>
      <c r="F546" s="6" t="s">
        <v>17</v>
      </c>
      <c r="G546" s="5"/>
      <c r="H546" s="5"/>
      <c r="I546" s="5"/>
      <c r="J546" s="5"/>
      <c r="K546" s="5"/>
      <c r="L546" s="5"/>
      <c r="M546" s="5"/>
      <c r="N546" s="5"/>
      <c r="O546" s="5"/>
      <c r="P546" s="5"/>
    </row>
    <row r="547" spans="1:16" x14ac:dyDescent="0.3">
      <c r="A547" s="25">
        <v>51</v>
      </c>
      <c r="B547" s="14" t="s">
        <v>635</v>
      </c>
      <c r="C547" s="6" t="s">
        <v>2571</v>
      </c>
      <c r="D547" s="6" t="s">
        <v>17</v>
      </c>
      <c r="E547" s="6" t="s">
        <v>17</v>
      </c>
      <c r="F547" s="6" t="s">
        <v>17</v>
      </c>
      <c r="G547" s="5"/>
      <c r="H547" s="5"/>
      <c r="I547" s="5"/>
      <c r="J547" s="5"/>
      <c r="K547" s="5"/>
      <c r="L547" s="5"/>
      <c r="M547" s="5"/>
      <c r="N547" s="5"/>
      <c r="O547" s="5"/>
      <c r="P547" s="5"/>
    </row>
    <row r="548" spans="1:16" x14ac:dyDescent="0.3">
      <c r="A548" s="25">
        <v>52</v>
      </c>
      <c r="B548" s="14" t="s">
        <v>636</v>
      </c>
      <c r="C548" s="6" t="s">
        <v>2572</v>
      </c>
      <c r="D548" s="6" t="s">
        <v>17</v>
      </c>
      <c r="E548" s="6" t="s">
        <v>17</v>
      </c>
      <c r="F548" s="6" t="s">
        <v>17</v>
      </c>
      <c r="G548" s="5"/>
      <c r="H548" s="5"/>
      <c r="I548" s="5"/>
      <c r="J548" s="5"/>
      <c r="K548" s="5"/>
      <c r="L548" s="5"/>
      <c r="M548" s="5"/>
      <c r="N548" s="5"/>
      <c r="O548" s="5"/>
      <c r="P548" s="5"/>
    </row>
    <row r="549" spans="1:16" x14ac:dyDescent="0.3">
      <c r="A549" s="25">
        <v>53</v>
      </c>
      <c r="B549" s="14" t="s">
        <v>637</v>
      </c>
      <c r="C549" s="6" t="s">
        <v>2573</v>
      </c>
      <c r="D549" s="6" t="s">
        <v>17</v>
      </c>
      <c r="E549" s="6" t="s">
        <v>17</v>
      </c>
      <c r="F549" s="6" t="s">
        <v>17</v>
      </c>
      <c r="G549" s="5"/>
      <c r="H549" s="5"/>
      <c r="I549" s="5"/>
      <c r="J549" s="5"/>
      <c r="K549" s="5"/>
      <c r="L549" s="5"/>
      <c r="M549" s="5"/>
      <c r="N549" s="5"/>
      <c r="O549" s="5"/>
      <c r="P549" s="5"/>
    </row>
    <row r="550" spans="1:16" x14ac:dyDescent="0.3">
      <c r="A550" s="25">
        <v>54</v>
      </c>
      <c r="B550" s="14" t="s">
        <v>638</v>
      </c>
      <c r="C550" s="6" t="s">
        <v>2574</v>
      </c>
      <c r="D550" s="6" t="s">
        <v>17</v>
      </c>
      <c r="E550" s="6" t="s">
        <v>17</v>
      </c>
      <c r="F550" s="6" t="s">
        <v>17</v>
      </c>
      <c r="G550" s="5"/>
      <c r="H550" s="5"/>
      <c r="I550" s="5"/>
      <c r="J550" s="5"/>
      <c r="K550" s="5"/>
      <c r="L550" s="5"/>
      <c r="M550" s="5"/>
      <c r="N550" s="5"/>
      <c r="O550" s="5"/>
      <c r="P550" s="5"/>
    </row>
    <row r="551" spans="1:16" x14ac:dyDescent="0.3">
      <c r="A551" s="25">
        <v>55</v>
      </c>
      <c r="B551" s="14" t="s">
        <v>639</v>
      </c>
      <c r="C551" s="6" t="s">
        <v>2575</v>
      </c>
      <c r="D551" s="6" t="s">
        <v>17</v>
      </c>
      <c r="E551" s="6" t="s">
        <v>17</v>
      </c>
      <c r="F551" s="6" t="s">
        <v>17</v>
      </c>
      <c r="G551" s="5"/>
      <c r="H551" s="5"/>
      <c r="I551" s="5"/>
      <c r="J551" s="5"/>
      <c r="K551" s="5"/>
      <c r="L551" s="5"/>
      <c r="M551" s="5"/>
      <c r="N551" s="5"/>
      <c r="O551" s="5"/>
      <c r="P551" s="5"/>
    </row>
    <row r="552" spans="1:16" x14ac:dyDescent="0.3">
      <c r="A552" s="25">
        <v>56</v>
      </c>
      <c r="B552" s="14" t="s">
        <v>640</v>
      </c>
      <c r="C552" s="6" t="s">
        <v>2406</v>
      </c>
      <c r="D552" s="6" t="s">
        <v>17</v>
      </c>
      <c r="E552" s="6" t="s">
        <v>17</v>
      </c>
      <c r="F552" s="6" t="s">
        <v>17</v>
      </c>
      <c r="G552" s="5"/>
      <c r="H552" s="5"/>
      <c r="I552" s="5"/>
      <c r="J552" s="5"/>
      <c r="K552" s="5"/>
      <c r="L552" s="5"/>
      <c r="M552" s="5"/>
      <c r="N552" s="5"/>
      <c r="O552" s="5"/>
      <c r="P552" s="5"/>
    </row>
    <row r="553" spans="1:16" x14ac:dyDescent="0.3">
      <c r="A553" s="25">
        <v>57</v>
      </c>
      <c r="B553" s="14" t="s">
        <v>641</v>
      </c>
      <c r="C553" s="6" t="s">
        <v>2576</v>
      </c>
      <c r="D553" s="6" t="s">
        <v>17</v>
      </c>
      <c r="E553" s="6" t="s">
        <v>17</v>
      </c>
      <c r="F553" s="6" t="s">
        <v>17</v>
      </c>
      <c r="G553" s="5"/>
      <c r="H553" s="5"/>
      <c r="I553" s="5"/>
      <c r="J553" s="5"/>
      <c r="K553" s="5"/>
      <c r="L553" s="5"/>
      <c r="M553" s="5"/>
      <c r="N553" s="5"/>
      <c r="O553" s="5"/>
      <c r="P553" s="5"/>
    </row>
    <row r="554" spans="1:16" x14ac:dyDescent="0.3">
      <c r="A554" s="25">
        <v>58</v>
      </c>
      <c r="B554" s="14" t="s">
        <v>642</v>
      </c>
      <c r="C554" s="6" t="s">
        <v>2577</v>
      </c>
      <c r="D554" s="6" t="s">
        <v>17</v>
      </c>
      <c r="E554" s="6" t="s">
        <v>17</v>
      </c>
      <c r="F554" s="6" t="s">
        <v>17</v>
      </c>
      <c r="G554" s="5"/>
      <c r="H554" s="5"/>
      <c r="I554" s="5"/>
      <c r="J554" s="5"/>
      <c r="K554" s="5"/>
      <c r="L554" s="5"/>
      <c r="M554" s="5"/>
      <c r="N554" s="5"/>
      <c r="O554" s="5"/>
      <c r="P554" s="5"/>
    </row>
    <row r="555" spans="1:16" x14ac:dyDescent="0.3">
      <c r="A555" s="25">
        <v>59</v>
      </c>
      <c r="B555" s="14" t="s">
        <v>643</v>
      </c>
      <c r="C555" s="6" t="s">
        <v>2578</v>
      </c>
      <c r="D555" s="6" t="s">
        <v>17</v>
      </c>
      <c r="E555" s="6" t="s">
        <v>17</v>
      </c>
      <c r="F555" s="6" t="s">
        <v>17</v>
      </c>
      <c r="G555" s="5"/>
      <c r="H555" s="5"/>
      <c r="I555" s="5"/>
      <c r="J555" s="5"/>
      <c r="K555" s="5"/>
      <c r="L555" s="5"/>
      <c r="M555" s="5"/>
      <c r="N555" s="5"/>
      <c r="O555" s="5"/>
      <c r="P555" s="5"/>
    </row>
    <row r="556" spans="1:16" x14ac:dyDescent="0.3">
      <c r="A556" s="25">
        <v>60</v>
      </c>
      <c r="B556" s="14" t="s">
        <v>644</v>
      </c>
      <c r="C556" s="6" t="s">
        <v>2579</v>
      </c>
      <c r="D556" s="6" t="s">
        <v>17</v>
      </c>
      <c r="E556" s="6" t="s">
        <v>17</v>
      </c>
      <c r="F556" s="6" t="s">
        <v>17</v>
      </c>
      <c r="G556" s="5"/>
      <c r="H556" s="5"/>
      <c r="I556" s="5"/>
      <c r="J556" s="5"/>
      <c r="K556" s="5"/>
      <c r="L556" s="5"/>
      <c r="M556" s="5"/>
      <c r="N556" s="5"/>
      <c r="O556" s="5"/>
      <c r="P556" s="5"/>
    </row>
    <row r="557" spans="1:16" x14ac:dyDescent="0.3">
      <c r="A557" s="25">
        <v>61</v>
      </c>
      <c r="B557" s="14" t="s">
        <v>645</v>
      </c>
      <c r="C557" s="6" t="s">
        <v>2580</v>
      </c>
      <c r="D557" s="6" t="s">
        <v>17</v>
      </c>
      <c r="E557" s="6" t="s">
        <v>17</v>
      </c>
      <c r="F557" s="6" t="s">
        <v>17</v>
      </c>
      <c r="G557" s="5"/>
      <c r="H557" s="5"/>
      <c r="I557" s="5"/>
      <c r="J557" s="5"/>
      <c r="K557" s="5"/>
      <c r="L557" s="5"/>
      <c r="M557" s="5"/>
      <c r="N557" s="5"/>
      <c r="O557" s="5"/>
      <c r="P557" s="5"/>
    </row>
    <row r="558" spans="1:16" x14ac:dyDescent="0.3">
      <c r="A558" s="25">
        <v>62</v>
      </c>
      <c r="B558" s="14" t="s">
        <v>646</v>
      </c>
      <c r="C558" s="6" t="s">
        <v>2581</v>
      </c>
      <c r="D558" s="6" t="s">
        <v>17</v>
      </c>
      <c r="E558" s="6" t="s">
        <v>17</v>
      </c>
      <c r="F558" s="6" t="s">
        <v>17</v>
      </c>
      <c r="G558" s="5"/>
      <c r="H558" s="5"/>
      <c r="I558" s="5"/>
      <c r="J558" s="5"/>
      <c r="K558" s="5"/>
      <c r="L558" s="5"/>
      <c r="M558" s="5"/>
      <c r="N558" s="5"/>
      <c r="O558" s="5"/>
      <c r="P558" s="5"/>
    </row>
    <row r="559" spans="1:16" x14ac:dyDescent="0.3">
      <c r="A559" s="25">
        <v>63</v>
      </c>
      <c r="B559" s="14" t="s">
        <v>647</v>
      </c>
      <c r="C559" s="6" t="s">
        <v>2582</v>
      </c>
      <c r="D559" s="6" t="s">
        <v>17</v>
      </c>
      <c r="E559" s="6" t="s">
        <v>17</v>
      </c>
      <c r="F559" s="6" t="s">
        <v>17</v>
      </c>
      <c r="G559" s="5"/>
      <c r="H559" s="5"/>
      <c r="I559" s="5"/>
      <c r="J559" s="5"/>
      <c r="K559" s="5"/>
      <c r="L559" s="5"/>
      <c r="M559" s="5"/>
      <c r="N559" s="5"/>
      <c r="O559" s="5"/>
      <c r="P559" s="5"/>
    </row>
    <row r="560" spans="1:16" x14ac:dyDescent="0.3">
      <c r="A560" s="25">
        <v>64</v>
      </c>
      <c r="B560" s="14" t="s">
        <v>648</v>
      </c>
      <c r="C560" s="6" t="s">
        <v>2583</v>
      </c>
      <c r="D560" s="6" t="s">
        <v>17</v>
      </c>
      <c r="E560" s="6" t="s">
        <v>17</v>
      </c>
      <c r="F560" s="6" t="s">
        <v>17</v>
      </c>
      <c r="G560" s="5"/>
      <c r="H560" s="5"/>
      <c r="I560" s="5"/>
      <c r="J560" s="5"/>
      <c r="K560" s="5"/>
      <c r="L560" s="5"/>
      <c r="M560" s="5"/>
      <c r="N560" s="5"/>
      <c r="O560" s="5"/>
      <c r="P560" s="5"/>
    </row>
    <row r="561" spans="1:16" x14ac:dyDescent="0.3">
      <c r="A561" s="25">
        <v>65</v>
      </c>
      <c r="B561" s="14" t="s">
        <v>649</v>
      </c>
      <c r="C561" s="6" t="s">
        <v>2584</v>
      </c>
      <c r="D561" s="6" t="s">
        <v>17</v>
      </c>
      <c r="E561" s="6" t="s">
        <v>17</v>
      </c>
      <c r="F561" s="6" t="s">
        <v>17</v>
      </c>
      <c r="G561" s="5"/>
      <c r="H561" s="5"/>
      <c r="I561" s="5"/>
      <c r="J561" s="5"/>
      <c r="K561" s="5"/>
      <c r="L561" s="5"/>
      <c r="M561" s="5"/>
      <c r="N561" s="5"/>
      <c r="O561" s="5"/>
      <c r="P561" s="5"/>
    </row>
    <row r="562" spans="1:16" x14ac:dyDescent="0.3">
      <c r="A562" s="25">
        <v>66</v>
      </c>
      <c r="B562" s="14" t="s">
        <v>650</v>
      </c>
      <c r="C562" s="6" t="s">
        <v>2585</v>
      </c>
      <c r="D562" s="6" t="s">
        <v>17</v>
      </c>
      <c r="E562" s="6" t="s">
        <v>17</v>
      </c>
      <c r="F562" s="6" t="s">
        <v>17</v>
      </c>
      <c r="G562" s="5"/>
      <c r="H562" s="5"/>
      <c r="I562" s="5"/>
      <c r="J562" s="5"/>
      <c r="K562" s="5"/>
      <c r="L562" s="5"/>
      <c r="M562" s="5"/>
      <c r="N562" s="5"/>
      <c r="O562" s="5"/>
      <c r="P562" s="5"/>
    </row>
    <row r="563" spans="1:16" x14ac:dyDescent="0.3">
      <c r="A563" s="25">
        <v>67</v>
      </c>
      <c r="B563" s="14" t="s">
        <v>651</v>
      </c>
      <c r="C563" s="6" t="s">
        <v>2586</v>
      </c>
      <c r="D563" s="6" t="s">
        <v>17</v>
      </c>
      <c r="E563" s="6" t="s">
        <v>17</v>
      </c>
      <c r="F563" s="6" t="s">
        <v>17</v>
      </c>
      <c r="G563" s="5"/>
      <c r="H563" s="5"/>
      <c r="I563" s="5"/>
      <c r="J563" s="5"/>
      <c r="K563" s="5"/>
      <c r="L563" s="5"/>
      <c r="M563" s="5"/>
      <c r="N563" s="5"/>
      <c r="O563" s="5"/>
      <c r="P563" s="5"/>
    </row>
    <row r="564" spans="1:16" x14ac:dyDescent="0.3">
      <c r="A564" s="25">
        <v>68</v>
      </c>
      <c r="B564" s="14" t="s">
        <v>652</v>
      </c>
      <c r="C564" s="6" t="s">
        <v>2587</v>
      </c>
      <c r="D564" s="6" t="s">
        <v>17</v>
      </c>
      <c r="E564" s="6" t="s">
        <v>17</v>
      </c>
      <c r="F564" s="6" t="s">
        <v>17</v>
      </c>
      <c r="G564" s="5"/>
      <c r="H564" s="5"/>
      <c r="I564" s="5"/>
      <c r="J564" s="5"/>
      <c r="K564" s="5"/>
      <c r="L564" s="5"/>
      <c r="M564" s="5"/>
      <c r="N564" s="5"/>
      <c r="O564" s="5"/>
      <c r="P564" s="5"/>
    </row>
    <row r="565" spans="1:16" x14ac:dyDescent="0.3">
      <c r="A565" s="25">
        <v>69</v>
      </c>
      <c r="B565" s="14" t="s">
        <v>653</v>
      </c>
      <c r="C565" s="6" t="s">
        <v>2588</v>
      </c>
      <c r="D565" s="6" t="s">
        <v>17</v>
      </c>
      <c r="E565" s="6" t="s">
        <v>17</v>
      </c>
      <c r="F565" s="6" t="s">
        <v>17</v>
      </c>
      <c r="G565" s="5"/>
      <c r="H565" s="5"/>
      <c r="I565" s="5"/>
      <c r="J565" s="5"/>
      <c r="K565" s="5"/>
      <c r="L565" s="5"/>
      <c r="M565" s="5"/>
      <c r="N565" s="5"/>
      <c r="O565" s="5"/>
      <c r="P565" s="5"/>
    </row>
    <row r="566" spans="1:16" x14ac:dyDescent="0.3">
      <c r="A566" s="25">
        <v>70</v>
      </c>
      <c r="B566" s="14" t="s">
        <v>654</v>
      </c>
      <c r="C566" s="6" t="s">
        <v>2589</v>
      </c>
      <c r="D566" s="6" t="s">
        <v>17</v>
      </c>
      <c r="E566" s="6" t="s">
        <v>17</v>
      </c>
      <c r="F566" s="6" t="s">
        <v>17</v>
      </c>
      <c r="G566" s="5"/>
      <c r="H566" s="5"/>
      <c r="I566" s="5"/>
      <c r="J566" s="5"/>
      <c r="K566" s="5"/>
      <c r="L566" s="5"/>
      <c r="M566" s="5"/>
      <c r="N566" s="5"/>
      <c r="O566" s="5"/>
      <c r="P566" s="5"/>
    </row>
    <row r="567" spans="1:16" x14ac:dyDescent="0.3">
      <c r="A567" s="25">
        <v>71</v>
      </c>
      <c r="B567" s="14" t="s">
        <v>655</v>
      </c>
      <c r="C567" s="6" t="s">
        <v>2590</v>
      </c>
      <c r="D567" s="6" t="s">
        <v>17</v>
      </c>
      <c r="E567" s="6" t="s">
        <v>17</v>
      </c>
      <c r="F567" s="6" t="s">
        <v>17</v>
      </c>
      <c r="G567" s="5"/>
      <c r="H567" s="5"/>
      <c r="I567" s="5"/>
      <c r="J567" s="5"/>
      <c r="K567" s="5"/>
      <c r="L567" s="5"/>
      <c r="M567" s="5"/>
      <c r="N567" s="5"/>
      <c r="O567" s="5"/>
      <c r="P567" s="5"/>
    </row>
    <row r="568" spans="1:16" x14ac:dyDescent="0.3">
      <c r="A568" s="25">
        <v>72</v>
      </c>
      <c r="B568" s="14" t="s">
        <v>656</v>
      </c>
      <c r="C568" s="6" t="s">
        <v>2591</v>
      </c>
      <c r="D568" s="6" t="s">
        <v>17</v>
      </c>
      <c r="E568" s="6" t="s">
        <v>17</v>
      </c>
      <c r="F568" s="6" t="s">
        <v>17</v>
      </c>
      <c r="G568" s="5"/>
      <c r="H568" s="5"/>
      <c r="I568" s="5"/>
      <c r="J568" s="5"/>
      <c r="K568" s="5"/>
      <c r="L568" s="5"/>
      <c r="M568" s="5"/>
      <c r="N568" s="5"/>
      <c r="O568" s="5"/>
      <c r="P568" s="5"/>
    </row>
    <row r="569" spans="1:16" x14ac:dyDescent="0.3">
      <c r="B569" s="16"/>
      <c r="C569" s="15" t="s">
        <v>511</v>
      </c>
      <c r="D569" s="5"/>
      <c r="E569" s="5"/>
      <c r="F569" s="5"/>
      <c r="G569" s="5"/>
      <c r="H569" s="5"/>
      <c r="I569" s="5"/>
      <c r="J569" s="5"/>
      <c r="K569" s="5"/>
      <c r="L569" s="5"/>
      <c r="M569" s="5"/>
      <c r="N569" s="5"/>
      <c r="O569" s="5"/>
      <c r="P569" s="5"/>
    </row>
    <row r="570" spans="1:16" x14ac:dyDescent="0.3">
      <c r="B570" s="62" t="s">
        <v>99</v>
      </c>
      <c r="C570" s="21" t="s">
        <v>110</v>
      </c>
      <c r="D570" s="21" t="s">
        <v>111</v>
      </c>
      <c r="E570" s="21" t="s">
        <v>112</v>
      </c>
      <c r="F570" s="5" t="s">
        <v>113</v>
      </c>
      <c r="G570" s="5" t="s">
        <v>114</v>
      </c>
      <c r="H570" s="5" t="s">
        <v>115</v>
      </c>
      <c r="I570" s="5" t="s">
        <v>116</v>
      </c>
      <c r="J570" s="5" t="s">
        <v>117</v>
      </c>
      <c r="K570" s="5" t="s">
        <v>121</v>
      </c>
      <c r="L570" s="5" t="s">
        <v>122</v>
      </c>
      <c r="M570" s="5"/>
      <c r="N570" s="5"/>
      <c r="O570" s="5"/>
      <c r="P570" s="5"/>
    </row>
    <row r="571" spans="1:16" x14ac:dyDescent="0.3">
      <c r="B571" s="11" t="s">
        <v>490</v>
      </c>
      <c r="C571" s="6">
        <v>0.45</v>
      </c>
      <c r="D571" s="6">
        <v>0.45</v>
      </c>
      <c r="E571" s="6">
        <v>0.45</v>
      </c>
      <c r="F571" s="5"/>
      <c r="G571" s="5"/>
      <c r="H571" s="5"/>
      <c r="I571" s="5"/>
      <c r="J571" s="5"/>
      <c r="K571" s="5"/>
      <c r="L571" s="5"/>
      <c r="M571" s="5"/>
      <c r="N571" s="5"/>
      <c r="O571" s="5"/>
      <c r="P571" s="5"/>
    </row>
    <row r="572" spans="1:16" x14ac:dyDescent="0.3">
      <c r="B572" s="11" t="s">
        <v>491</v>
      </c>
      <c r="C572" s="116">
        <v>0.01</v>
      </c>
      <c r="D572" s="116">
        <v>0.01</v>
      </c>
      <c r="E572" s="116">
        <v>0.01</v>
      </c>
      <c r="F572" s="5"/>
      <c r="G572" s="5"/>
      <c r="H572" s="5"/>
      <c r="I572" s="5"/>
      <c r="J572" s="5"/>
      <c r="K572" s="5"/>
      <c r="L572" s="5"/>
      <c r="M572" s="5"/>
      <c r="N572" s="5"/>
      <c r="O572" s="5"/>
      <c r="P572" s="5"/>
    </row>
    <row r="573" spans="1:16" x14ac:dyDescent="0.3">
      <c r="B573" s="11" t="s">
        <v>492</v>
      </c>
      <c r="C573" s="116">
        <v>0.2</v>
      </c>
      <c r="D573" s="116">
        <v>0.2</v>
      </c>
      <c r="E573" s="116">
        <v>0.2</v>
      </c>
      <c r="F573" s="5"/>
      <c r="G573" s="5"/>
      <c r="H573" s="5"/>
      <c r="I573" s="5"/>
      <c r="J573" s="5"/>
      <c r="K573" s="5"/>
      <c r="L573" s="5"/>
      <c r="M573" s="5"/>
      <c r="N573" s="5"/>
      <c r="O573" s="5"/>
      <c r="P573" s="5"/>
    </row>
    <row r="574" spans="1:16" x14ac:dyDescent="0.3">
      <c r="B574" s="11" t="s">
        <v>307</v>
      </c>
      <c r="C574" s="6">
        <v>0.45</v>
      </c>
      <c r="D574" s="6">
        <v>0.45</v>
      </c>
      <c r="E574" s="6">
        <v>0.45</v>
      </c>
      <c r="F574" s="5"/>
      <c r="G574" s="5"/>
      <c r="H574" s="5"/>
      <c r="I574" s="5"/>
      <c r="J574" s="5"/>
      <c r="K574" s="5"/>
      <c r="L574" s="5"/>
      <c r="M574" s="5"/>
      <c r="N574" s="5"/>
      <c r="O574" s="5"/>
      <c r="P574" s="5"/>
    </row>
    <row r="575" spans="1:16" x14ac:dyDescent="0.3">
      <c r="B575" s="11" t="s">
        <v>905</v>
      </c>
      <c r="C575" s="6" t="s">
        <v>17</v>
      </c>
      <c r="D575" s="6" t="s">
        <v>17</v>
      </c>
      <c r="E575" s="6" t="s">
        <v>17</v>
      </c>
      <c r="F575" s="5"/>
      <c r="G575" s="5"/>
      <c r="H575" s="5"/>
      <c r="I575" s="5"/>
      <c r="J575" s="5"/>
      <c r="K575" s="5"/>
      <c r="L575" s="5"/>
      <c r="M575" s="5"/>
      <c r="N575" s="5"/>
      <c r="O575" s="5"/>
      <c r="P575" s="5"/>
    </row>
    <row r="576" spans="1:16" x14ac:dyDescent="0.3">
      <c r="B576" s="11" t="s">
        <v>906</v>
      </c>
      <c r="C576" s="6" t="s">
        <v>17</v>
      </c>
      <c r="D576" s="6" t="s">
        <v>17</v>
      </c>
      <c r="E576" s="6" t="s">
        <v>17</v>
      </c>
      <c r="F576" s="5"/>
      <c r="G576" s="5"/>
      <c r="H576" s="5"/>
      <c r="I576" s="5"/>
      <c r="J576" s="5"/>
      <c r="K576" s="5"/>
      <c r="L576" s="5"/>
      <c r="M576" s="5"/>
      <c r="N576" s="5"/>
      <c r="O576" s="5"/>
      <c r="P576" s="5"/>
    </row>
    <row r="577" spans="2:32" x14ac:dyDescent="0.3">
      <c r="B577" s="17"/>
      <c r="C577" s="15" t="s">
        <v>511</v>
      </c>
      <c r="D577" s="5"/>
      <c r="E577" s="5"/>
      <c r="F577" s="5"/>
      <c r="G577" s="5"/>
      <c r="H577" s="5"/>
      <c r="I577" s="5"/>
      <c r="J577" s="5"/>
      <c r="K577" s="5"/>
      <c r="L577" s="5"/>
      <c r="M577" s="5"/>
      <c r="N577" s="5"/>
      <c r="O577" s="5"/>
      <c r="P577" s="5"/>
    </row>
    <row r="578" spans="2:32" x14ac:dyDescent="0.3">
      <c r="B578" s="62" t="s">
        <v>302</v>
      </c>
      <c r="C578" s="21" t="s">
        <v>167</v>
      </c>
      <c r="D578" s="5" t="s">
        <v>168</v>
      </c>
      <c r="E578" s="5" t="s">
        <v>169</v>
      </c>
      <c r="F578" s="5" t="s">
        <v>170</v>
      </c>
      <c r="G578" s="5" t="s">
        <v>171</v>
      </c>
      <c r="H578" s="5" t="s">
        <v>172</v>
      </c>
      <c r="I578" s="5" t="s">
        <v>173</v>
      </c>
      <c r="J578" s="5" t="s">
        <v>174</v>
      </c>
      <c r="K578" s="5" t="s">
        <v>175</v>
      </c>
      <c r="L578" s="5" t="s">
        <v>176</v>
      </c>
      <c r="M578" s="5"/>
      <c r="N578" s="5"/>
      <c r="O578" s="5"/>
      <c r="P578" s="5"/>
    </row>
    <row r="579" spans="2:32" x14ac:dyDescent="0.3">
      <c r="B579" s="11" t="s">
        <v>493</v>
      </c>
      <c r="C579" s="6">
        <v>0.2</v>
      </c>
      <c r="D579" s="5"/>
      <c r="E579" s="5"/>
      <c r="F579" s="5"/>
      <c r="G579" s="5"/>
      <c r="H579" s="5"/>
      <c r="I579" s="5"/>
      <c r="J579" s="5"/>
      <c r="K579" s="5"/>
      <c r="L579" s="5"/>
      <c r="M579" s="5"/>
      <c r="N579" s="5"/>
      <c r="O579" s="5"/>
      <c r="P579" s="5"/>
    </row>
    <row r="580" spans="2:32" x14ac:dyDescent="0.3">
      <c r="B580" s="17"/>
      <c r="C580" s="15" t="s">
        <v>511</v>
      </c>
      <c r="D580" s="5"/>
      <c r="E580" s="5"/>
      <c r="F580" s="5"/>
      <c r="G580" s="5"/>
      <c r="H580" s="5"/>
      <c r="I580" s="5"/>
      <c r="J580" s="5"/>
      <c r="K580" s="5"/>
      <c r="L580" s="5"/>
      <c r="M580" s="5"/>
      <c r="N580" s="5"/>
      <c r="O580" s="5"/>
      <c r="P580" s="5"/>
    </row>
    <row r="581" spans="2:32" x14ac:dyDescent="0.3">
      <c r="B581" s="62" t="s">
        <v>303</v>
      </c>
      <c r="C581" s="21" t="s">
        <v>177</v>
      </c>
      <c r="D581" s="5" t="s">
        <v>1037</v>
      </c>
      <c r="E581" s="5" t="s">
        <v>1038</v>
      </c>
      <c r="F581" s="5" t="s">
        <v>1039</v>
      </c>
      <c r="G581" s="5" t="s">
        <v>1040</v>
      </c>
      <c r="H581" s="5" t="s">
        <v>1041</v>
      </c>
      <c r="I581" s="5" t="s">
        <v>1042</v>
      </c>
      <c r="J581" s="5" t="s">
        <v>1043</v>
      </c>
      <c r="K581" s="5" t="s">
        <v>1044</v>
      </c>
      <c r="L581" s="5" t="s">
        <v>1045</v>
      </c>
      <c r="M581" s="5"/>
      <c r="N581" s="5"/>
      <c r="O581" s="5"/>
      <c r="P581" s="5"/>
    </row>
    <row r="582" spans="2:32" x14ac:dyDescent="0.3">
      <c r="B582" s="11" t="s">
        <v>494</v>
      </c>
      <c r="C582" s="6">
        <v>0.2</v>
      </c>
      <c r="D582" s="5"/>
      <c r="E582" s="5"/>
      <c r="F582" s="5"/>
      <c r="G582" s="5"/>
      <c r="H582" s="5"/>
      <c r="I582" s="5"/>
      <c r="J582" s="5"/>
      <c r="K582" s="5"/>
      <c r="L582" s="5"/>
      <c r="M582" s="5"/>
      <c r="N582" s="5"/>
      <c r="O582" s="5"/>
      <c r="P582" s="5"/>
    </row>
    <row r="583" spans="2:32" x14ac:dyDescent="0.3">
      <c r="B583" s="17"/>
      <c r="C583" s="15" t="s">
        <v>511</v>
      </c>
      <c r="D583" s="5"/>
      <c r="E583" s="5"/>
      <c r="F583" s="5"/>
      <c r="G583" s="5"/>
      <c r="H583" s="5"/>
      <c r="I583" s="5"/>
      <c r="J583" s="5"/>
      <c r="K583" s="5"/>
      <c r="L583" s="5"/>
      <c r="M583" s="5"/>
      <c r="N583" s="5"/>
      <c r="O583" s="5"/>
      <c r="P583" s="5"/>
    </row>
    <row r="584" spans="2:32" x14ac:dyDescent="0.3">
      <c r="B584" s="62" t="s">
        <v>304</v>
      </c>
      <c r="C584" s="21" t="s">
        <v>178</v>
      </c>
      <c r="D584" s="5" t="s">
        <v>179</v>
      </c>
      <c r="E584" s="5" t="s">
        <v>180</v>
      </c>
      <c r="F584" s="5" t="s">
        <v>181</v>
      </c>
      <c r="G584" s="5" t="s">
        <v>182</v>
      </c>
      <c r="H584" s="5" t="s">
        <v>183</v>
      </c>
      <c r="I584" s="5" t="s">
        <v>1191</v>
      </c>
      <c r="J584" s="5"/>
      <c r="K584" s="5"/>
      <c r="L584" s="5"/>
      <c r="M584" s="5"/>
      <c r="N584" s="5"/>
      <c r="O584" s="5"/>
      <c r="P584" s="5"/>
    </row>
    <row r="585" spans="2:32" x14ac:dyDescent="0.3">
      <c r="B585" s="11" t="s">
        <v>495</v>
      </c>
      <c r="C585" s="6">
        <v>0.01</v>
      </c>
      <c r="D585" s="5"/>
      <c r="E585" s="5"/>
      <c r="F585" s="5"/>
      <c r="G585" s="5"/>
      <c r="H585" s="5"/>
      <c r="I585" s="5"/>
      <c r="J585" s="5"/>
      <c r="K585" s="5"/>
      <c r="L585" s="5"/>
      <c r="M585" s="5"/>
      <c r="N585" s="5"/>
      <c r="O585" s="5"/>
      <c r="P585" s="5"/>
    </row>
    <row r="586" spans="2:32" x14ac:dyDescent="0.3">
      <c r="B586" s="17"/>
      <c r="C586" s="15" t="s">
        <v>511</v>
      </c>
      <c r="D586" s="5"/>
      <c r="E586" s="5"/>
      <c r="F586" s="5"/>
      <c r="G586" s="5"/>
      <c r="H586" s="5"/>
      <c r="I586" s="5"/>
      <c r="J586" s="5"/>
      <c r="K586" s="5"/>
      <c r="L586" s="5"/>
      <c r="M586" s="5"/>
      <c r="N586" s="5"/>
      <c r="O586" s="5"/>
      <c r="P586" s="5"/>
    </row>
    <row r="587" spans="2:32" x14ac:dyDescent="0.3">
      <c r="B587" s="62" t="s">
        <v>305</v>
      </c>
      <c r="C587" s="21" t="s">
        <v>2676</v>
      </c>
      <c r="D587" s="21" t="s">
        <v>2677</v>
      </c>
      <c r="E587" s="21" t="s">
        <v>2678</v>
      </c>
      <c r="F587" s="21" t="s">
        <v>2679</v>
      </c>
      <c r="G587" s="21" t="s">
        <v>2680</v>
      </c>
      <c r="H587" s="21" t="s">
        <v>2681</v>
      </c>
      <c r="I587" s="21" t="s">
        <v>2682</v>
      </c>
      <c r="J587" s="21" t="s">
        <v>2683</v>
      </c>
      <c r="K587" s="21" t="s">
        <v>2684</v>
      </c>
      <c r="L587" s="21" t="s">
        <v>2685</v>
      </c>
      <c r="M587" s="21" t="s">
        <v>2686</v>
      </c>
      <c r="N587" s="21" t="s">
        <v>2687</v>
      </c>
      <c r="O587" s="21" t="s">
        <v>2688</v>
      </c>
      <c r="P587" s="21" t="s">
        <v>2689</v>
      </c>
      <c r="Q587" s="21" t="s">
        <v>2690</v>
      </c>
      <c r="R587" s="21" t="s">
        <v>2691</v>
      </c>
      <c r="S587" s="21" t="s">
        <v>2692</v>
      </c>
      <c r="T587" s="21" t="s">
        <v>2693</v>
      </c>
      <c r="U587" s="21" t="s">
        <v>2694</v>
      </c>
      <c r="V587" s="21" t="s">
        <v>2420</v>
      </c>
      <c r="W587" s="21" t="s">
        <v>2695</v>
      </c>
      <c r="X587" s="21" t="s">
        <v>2696</v>
      </c>
      <c r="Y587" s="21" t="s">
        <v>2697</v>
      </c>
      <c r="Z587" s="21" t="s">
        <v>2698</v>
      </c>
      <c r="AA587" s="21" t="s">
        <v>2699</v>
      </c>
      <c r="AB587" s="21" t="s">
        <v>2700</v>
      </c>
      <c r="AC587" s="21" t="s">
        <v>2701</v>
      </c>
      <c r="AD587" s="21" t="s">
        <v>2702</v>
      </c>
      <c r="AE587" s="121" t="s">
        <v>2703</v>
      </c>
      <c r="AF587" s="121" t="s">
        <v>2727</v>
      </c>
    </row>
    <row r="588" spans="2:32" x14ac:dyDescent="0.3">
      <c r="B588" s="11" t="s">
        <v>1259</v>
      </c>
      <c r="C588" s="116">
        <v>0</v>
      </c>
      <c r="D588" s="116">
        <v>0</v>
      </c>
      <c r="E588" s="116">
        <v>0</v>
      </c>
      <c r="F588" s="116">
        <v>0</v>
      </c>
      <c r="G588" s="116">
        <v>0</v>
      </c>
      <c r="H588" s="116">
        <v>0</v>
      </c>
      <c r="I588" s="116">
        <v>0</v>
      </c>
      <c r="J588" s="116">
        <v>0</v>
      </c>
      <c r="K588" s="116">
        <v>0</v>
      </c>
      <c r="L588" s="116">
        <v>0</v>
      </c>
      <c r="M588" s="116">
        <v>0</v>
      </c>
      <c r="N588" s="116">
        <v>0</v>
      </c>
      <c r="O588" s="116">
        <v>0</v>
      </c>
      <c r="P588" s="116">
        <v>0</v>
      </c>
      <c r="Q588" s="116">
        <v>0</v>
      </c>
      <c r="R588" s="116">
        <v>0</v>
      </c>
      <c r="S588" s="116">
        <v>0</v>
      </c>
      <c r="T588" s="116">
        <v>0</v>
      </c>
      <c r="U588" s="116">
        <v>0</v>
      </c>
      <c r="V588" s="116">
        <v>0</v>
      </c>
      <c r="W588" s="116">
        <v>0</v>
      </c>
      <c r="X588" s="116">
        <v>0</v>
      </c>
      <c r="Y588" s="116">
        <v>0</v>
      </c>
      <c r="Z588" s="116">
        <v>0</v>
      </c>
      <c r="AA588" s="116">
        <v>0</v>
      </c>
      <c r="AB588" s="116">
        <v>0</v>
      </c>
      <c r="AC588" s="116">
        <v>0</v>
      </c>
      <c r="AD588" s="116">
        <v>0</v>
      </c>
      <c r="AE588" s="116">
        <v>0</v>
      </c>
      <c r="AF588" s="116">
        <v>0</v>
      </c>
    </row>
    <row r="589" spans="2:32" x14ac:dyDescent="0.3">
      <c r="B589" s="11" t="s">
        <v>897</v>
      </c>
      <c r="C589" s="116">
        <v>0</v>
      </c>
      <c r="D589" s="116">
        <v>0</v>
      </c>
      <c r="E589" s="116">
        <v>0</v>
      </c>
      <c r="F589" s="116">
        <v>0</v>
      </c>
      <c r="G589" s="116">
        <v>0</v>
      </c>
      <c r="H589" s="116">
        <v>0</v>
      </c>
      <c r="I589" s="116">
        <v>0</v>
      </c>
      <c r="J589" s="116">
        <v>0</v>
      </c>
      <c r="K589" s="116">
        <v>0</v>
      </c>
      <c r="L589" s="116">
        <v>0</v>
      </c>
      <c r="M589" s="116">
        <v>0</v>
      </c>
      <c r="N589" s="116">
        <v>0</v>
      </c>
      <c r="O589" s="116">
        <v>0</v>
      </c>
      <c r="P589" s="116">
        <v>0</v>
      </c>
      <c r="Q589" s="116">
        <v>0</v>
      </c>
      <c r="R589" s="116">
        <v>0</v>
      </c>
      <c r="S589" s="116">
        <v>0</v>
      </c>
      <c r="T589" s="116">
        <v>0</v>
      </c>
      <c r="U589" s="116">
        <v>0</v>
      </c>
      <c r="V589" s="116">
        <v>-1</v>
      </c>
      <c r="W589" s="116">
        <v>-1</v>
      </c>
      <c r="X589" s="116">
        <v>-1</v>
      </c>
      <c r="Y589" s="116">
        <v>-1</v>
      </c>
      <c r="Z589" s="116">
        <v>-1</v>
      </c>
      <c r="AA589" s="116">
        <v>-1</v>
      </c>
      <c r="AB589" s="116">
        <v>-1</v>
      </c>
      <c r="AC589" s="116">
        <v>-1</v>
      </c>
      <c r="AD589" s="116">
        <v>-1</v>
      </c>
      <c r="AE589" s="116">
        <v>-1</v>
      </c>
      <c r="AF589" s="116">
        <v>-1</v>
      </c>
    </row>
    <row r="590" spans="2:32" x14ac:dyDescent="0.3">
      <c r="B590" s="11" t="s">
        <v>898</v>
      </c>
      <c r="C590" s="116">
        <v>0</v>
      </c>
      <c r="D590" s="116">
        <v>0</v>
      </c>
      <c r="E590" s="116">
        <v>0</v>
      </c>
      <c r="F590" s="116">
        <v>0</v>
      </c>
      <c r="G590" s="116">
        <v>0</v>
      </c>
      <c r="H590" s="116">
        <v>0</v>
      </c>
      <c r="I590" s="116">
        <v>0</v>
      </c>
      <c r="J590" s="116">
        <v>0</v>
      </c>
      <c r="K590" s="116">
        <v>0</v>
      </c>
      <c r="L590" s="116">
        <v>0</v>
      </c>
      <c r="M590" s="116">
        <v>0</v>
      </c>
      <c r="N590" s="116">
        <v>0</v>
      </c>
      <c r="O590" s="116">
        <v>0</v>
      </c>
      <c r="P590" s="116">
        <v>0</v>
      </c>
      <c r="Q590" s="116">
        <v>0</v>
      </c>
      <c r="R590" s="116">
        <v>0</v>
      </c>
      <c r="S590" s="116">
        <v>0</v>
      </c>
      <c r="T590" s="116">
        <v>0</v>
      </c>
      <c r="U590" s="116">
        <v>0</v>
      </c>
      <c r="V590" s="116">
        <v>0</v>
      </c>
      <c r="W590" s="116">
        <v>0</v>
      </c>
      <c r="X590" s="116">
        <v>0</v>
      </c>
      <c r="Y590" s="116">
        <v>0</v>
      </c>
      <c r="Z590" s="116">
        <v>0</v>
      </c>
      <c r="AA590" s="116">
        <v>0</v>
      </c>
      <c r="AB590" s="116">
        <v>0</v>
      </c>
      <c r="AC590" s="116">
        <v>0</v>
      </c>
      <c r="AD590" s="116">
        <v>0</v>
      </c>
      <c r="AE590" s="116">
        <v>0</v>
      </c>
      <c r="AF590" s="116">
        <v>0</v>
      </c>
    </row>
    <row r="591" spans="2:32" x14ac:dyDescent="0.3">
      <c r="B591" s="11" t="s">
        <v>899</v>
      </c>
      <c r="C591" s="116">
        <v>0</v>
      </c>
      <c r="D591" s="116">
        <v>0</v>
      </c>
      <c r="E591" s="116">
        <v>0</v>
      </c>
      <c r="F591" s="116">
        <v>0</v>
      </c>
      <c r="G591" s="116">
        <v>0</v>
      </c>
      <c r="H591" s="116">
        <v>0</v>
      </c>
      <c r="I591" s="116">
        <v>0</v>
      </c>
      <c r="J591" s="116">
        <v>0</v>
      </c>
      <c r="K591" s="116">
        <v>0</v>
      </c>
      <c r="L591" s="116">
        <v>0</v>
      </c>
      <c r="M591" s="116">
        <v>0</v>
      </c>
      <c r="N591" s="116">
        <v>0</v>
      </c>
      <c r="O591" s="116">
        <v>0</v>
      </c>
      <c r="P591" s="116">
        <v>0</v>
      </c>
      <c r="Q591" s="116">
        <v>0</v>
      </c>
      <c r="R591" s="116">
        <v>0</v>
      </c>
      <c r="S591" s="116">
        <v>0</v>
      </c>
      <c r="T591" s="116">
        <v>0</v>
      </c>
      <c r="U591" s="116">
        <v>0</v>
      </c>
      <c r="V591" s="116">
        <v>0</v>
      </c>
      <c r="W591" s="116">
        <v>0</v>
      </c>
      <c r="X591" s="116">
        <v>0</v>
      </c>
      <c r="Y591" s="116">
        <v>0</v>
      </c>
      <c r="Z591" s="116">
        <v>0</v>
      </c>
      <c r="AA591" s="116">
        <v>0</v>
      </c>
      <c r="AB591" s="116">
        <v>0</v>
      </c>
      <c r="AC591" s="116">
        <v>0</v>
      </c>
      <c r="AD591" s="116">
        <v>0</v>
      </c>
      <c r="AE591" s="116">
        <v>0</v>
      </c>
      <c r="AF591" s="116">
        <v>0</v>
      </c>
    </row>
    <row r="592" spans="2:32" x14ac:dyDescent="0.3">
      <c r="B592" s="11" t="s">
        <v>900</v>
      </c>
      <c r="C592" s="116">
        <v>0</v>
      </c>
      <c r="D592" s="116">
        <v>0</v>
      </c>
      <c r="E592" s="116">
        <v>0</v>
      </c>
      <c r="F592" s="116">
        <v>0</v>
      </c>
      <c r="G592" s="116">
        <v>0</v>
      </c>
      <c r="H592" s="116">
        <v>0</v>
      </c>
      <c r="I592" s="116">
        <v>0</v>
      </c>
      <c r="J592" s="116">
        <v>0</v>
      </c>
      <c r="K592" s="116">
        <v>0</v>
      </c>
      <c r="L592" s="116">
        <v>0</v>
      </c>
      <c r="M592" s="116">
        <v>0</v>
      </c>
      <c r="N592" s="116">
        <v>0</v>
      </c>
      <c r="O592" s="116">
        <v>0</v>
      </c>
      <c r="P592" s="116">
        <v>0</v>
      </c>
      <c r="Q592" s="116">
        <v>0</v>
      </c>
      <c r="R592" s="116">
        <v>0</v>
      </c>
      <c r="S592" s="116">
        <v>0</v>
      </c>
      <c r="T592" s="116">
        <v>0</v>
      </c>
      <c r="U592" s="116">
        <v>0</v>
      </c>
      <c r="V592" s="116">
        <v>0</v>
      </c>
      <c r="W592" s="116">
        <v>0</v>
      </c>
      <c r="X592" s="116">
        <v>0</v>
      </c>
      <c r="Y592" s="116">
        <v>0</v>
      </c>
      <c r="Z592" s="116">
        <v>0</v>
      </c>
      <c r="AA592" s="116">
        <v>0</v>
      </c>
      <c r="AB592" s="116">
        <v>0</v>
      </c>
      <c r="AC592" s="116">
        <v>0</v>
      </c>
      <c r="AD592" s="116">
        <v>0</v>
      </c>
      <c r="AE592" s="116">
        <v>0</v>
      </c>
      <c r="AF592" s="116">
        <v>0</v>
      </c>
    </row>
    <row r="593" spans="1:32" x14ac:dyDescent="0.3">
      <c r="B593" s="11" t="s">
        <v>901</v>
      </c>
      <c r="C593" s="116">
        <v>0</v>
      </c>
      <c r="D593" s="116">
        <v>0</v>
      </c>
      <c r="E593" s="116">
        <v>0</v>
      </c>
      <c r="F593" s="116">
        <v>0</v>
      </c>
      <c r="G593" s="116">
        <v>0</v>
      </c>
      <c r="H593" s="116">
        <v>0</v>
      </c>
      <c r="I593" s="116">
        <v>0</v>
      </c>
      <c r="J593" s="116">
        <v>0</v>
      </c>
      <c r="K593" s="116">
        <v>0</v>
      </c>
      <c r="L593" s="116">
        <v>0</v>
      </c>
      <c r="M593" s="116">
        <v>0</v>
      </c>
      <c r="N593" s="116">
        <v>0</v>
      </c>
      <c r="O593" s="116">
        <v>0</v>
      </c>
      <c r="P593" s="116">
        <v>0</v>
      </c>
      <c r="Q593" s="116">
        <v>0</v>
      </c>
      <c r="R593" s="116">
        <v>0</v>
      </c>
      <c r="S593" s="116">
        <v>0</v>
      </c>
      <c r="T593" s="116">
        <v>0</v>
      </c>
      <c r="U593" s="116">
        <v>0</v>
      </c>
      <c r="V593" s="116">
        <v>0</v>
      </c>
      <c r="W593" s="116">
        <v>0</v>
      </c>
      <c r="X593" s="116">
        <v>0</v>
      </c>
      <c r="Y593" s="116">
        <v>0</v>
      </c>
      <c r="Z593" s="116">
        <v>0</v>
      </c>
      <c r="AA593" s="116">
        <v>0</v>
      </c>
      <c r="AB593" s="116">
        <v>0</v>
      </c>
      <c r="AC593" s="116">
        <v>0</v>
      </c>
      <c r="AD593" s="116">
        <v>0</v>
      </c>
      <c r="AE593" s="116">
        <v>0</v>
      </c>
      <c r="AF593" s="116">
        <v>0</v>
      </c>
    </row>
    <row r="594" spans="1:32" x14ac:dyDescent="0.3">
      <c r="B594" s="11" t="s">
        <v>902</v>
      </c>
      <c r="C594" s="116">
        <v>0</v>
      </c>
      <c r="D594" s="116">
        <v>0</v>
      </c>
      <c r="E594" s="116">
        <v>0</v>
      </c>
      <c r="F594" s="116">
        <v>0</v>
      </c>
      <c r="G594" s="116">
        <v>0</v>
      </c>
      <c r="H594" s="116">
        <v>0</v>
      </c>
      <c r="I594" s="116">
        <v>0</v>
      </c>
      <c r="J594" s="116">
        <v>0</v>
      </c>
      <c r="K594" s="116">
        <v>0</v>
      </c>
      <c r="L594" s="116">
        <v>0</v>
      </c>
      <c r="M594" s="116">
        <v>0</v>
      </c>
      <c r="N594" s="116">
        <v>0</v>
      </c>
      <c r="O594" s="116">
        <v>0</v>
      </c>
      <c r="P594" s="116">
        <v>0</v>
      </c>
      <c r="Q594" s="116">
        <v>0</v>
      </c>
      <c r="R594" s="116">
        <v>0</v>
      </c>
      <c r="S594" s="116">
        <v>0</v>
      </c>
      <c r="T594" s="116">
        <v>0</v>
      </c>
      <c r="U594" s="116">
        <v>0</v>
      </c>
      <c r="V594" s="116">
        <v>0</v>
      </c>
      <c r="W594" s="116">
        <v>0</v>
      </c>
      <c r="X594" s="116">
        <v>0</v>
      </c>
      <c r="Y594" s="116">
        <v>0</v>
      </c>
      <c r="Z594" s="116">
        <v>0</v>
      </c>
      <c r="AA594" s="116">
        <v>0</v>
      </c>
      <c r="AB594" s="116">
        <v>0</v>
      </c>
      <c r="AC594" s="116">
        <v>0</v>
      </c>
      <c r="AD594" s="116">
        <v>0</v>
      </c>
      <c r="AE594" s="116">
        <v>0</v>
      </c>
      <c r="AF594" s="116">
        <v>0</v>
      </c>
    </row>
    <row r="595" spans="1:32" x14ac:dyDescent="0.3">
      <c r="A595" s="25" t="s">
        <v>1552</v>
      </c>
      <c r="B595" s="11" t="s">
        <v>1551</v>
      </c>
      <c r="C595" s="116">
        <v>0</v>
      </c>
      <c r="D595" s="116">
        <v>0</v>
      </c>
      <c r="E595" s="116">
        <v>0</v>
      </c>
      <c r="F595" s="116">
        <v>0</v>
      </c>
      <c r="G595" s="116">
        <v>0</v>
      </c>
      <c r="H595" s="116">
        <v>0</v>
      </c>
      <c r="I595" s="116">
        <v>0</v>
      </c>
      <c r="J595" s="116">
        <v>0</v>
      </c>
      <c r="K595" s="116">
        <v>0</v>
      </c>
      <c r="L595" s="116">
        <v>0</v>
      </c>
      <c r="M595" s="116">
        <v>0</v>
      </c>
      <c r="N595" s="116">
        <v>0</v>
      </c>
      <c r="O595" s="116">
        <v>0</v>
      </c>
      <c r="P595" s="116">
        <v>0</v>
      </c>
      <c r="Q595" s="116">
        <v>0</v>
      </c>
      <c r="R595" s="116">
        <v>0</v>
      </c>
      <c r="S595" s="116">
        <v>0</v>
      </c>
      <c r="T595" s="116">
        <v>0</v>
      </c>
      <c r="U595" s="116">
        <v>0</v>
      </c>
      <c r="V595" s="116">
        <v>0</v>
      </c>
      <c r="W595" s="116">
        <v>0</v>
      </c>
      <c r="X595" s="116">
        <v>0</v>
      </c>
      <c r="Y595" s="116">
        <v>0</v>
      </c>
      <c r="Z595" s="116">
        <v>0</v>
      </c>
      <c r="AA595" s="116">
        <v>0</v>
      </c>
      <c r="AB595" s="116">
        <v>0</v>
      </c>
      <c r="AC595" s="116">
        <v>0</v>
      </c>
      <c r="AD595" s="116">
        <v>0</v>
      </c>
      <c r="AE595" s="116">
        <v>0</v>
      </c>
      <c r="AF595" s="116">
        <v>0</v>
      </c>
    </row>
    <row r="596" spans="1:32" x14ac:dyDescent="0.3">
      <c r="A596" s="25" t="s">
        <v>2596</v>
      </c>
      <c r="B596" s="11" t="s">
        <v>2597</v>
      </c>
      <c r="C596" s="6" t="s">
        <v>2725</v>
      </c>
      <c r="D596" s="6" t="s">
        <v>2725</v>
      </c>
      <c r="E596" s="6" t="s">
        <v>2725</v>
      </c>
      <c r="F596" s="6" t="s">
        <v>2725</v>
      </c>
      <c r="G596" s="6" t="s">
        <v>2725</v>
      </c>
      <c r="H596" s="6" t="s">
        <v>2725</v>
      </c>
      <c r="I596" s="6" t="s">
        <v>2725</v>
      </c>
      <c r="J596" s="6" t="s">
        <v>2725</v>
      </c>
      <c r="K596" s="6" t="s">
        <v>2684</v>
      </c>
      <c r="L596" s="6" t="s">
        <v>2693</v>
      </c>
      <c r="M596" s="6" t="s">
        <v>2693</v>
      </c>
      <c r="N596" s="6" t="s">
        <v>2693</v>
      </c>
      <c r="O596" s="6" t="s">
        <v>2693</v>
      </c>
      <c r="P596" s="6" t="s">
        <v>2693</v>
      </c>
      <c r="Q596" s="6" t="s">
        <v>2693</v>
      </c>
      <c r="R596" s="6" t="s">
        <v>2693</v>
      </c>
      <c r="S596" s="6" t="s">
        <v>2693</v>
      </c>
      <c r="T596" s="6" t="s">
        <v>2693</v>
      </c>
      <c r="U596" s="6" t="s">
        <v>2694</v>
      </c>
      <c r="V596" s="6" t="s">
        <v>2420</v>
      </c>
      <c r="W596" s="6" t="s">
        <v>2726</v>
      </c>
      <c r="X596" s="6" t="s">
        <v>2726</v>
      </c>
      <c r="Y596" s="6" t="s">
        <v>2726</v>
      </c>
      <c r="Z596" s="6" t="s">
        <v>2726</v>
      </c>
      <c r="AA596" s="6" t="s">
        <v>2726</v>
      </c>
      <c r="AB596" s="6" t="s">
        <v>2726</v>
      </c>
      <c r="AC596" s="6" t="s">
        <v>2726</v>
      </c>
      <c r="AD596" s="6" t="s">
        <v>2726</v>
      </c>
      <c r="AE596" s="6" t="s">
        <v>2726</v>
      </c>
      <c r="AF596" s="6" t="s">
        <v>2726</v>
      </c>
    </row>
    <row r="597" spans="1:32" x14ac:dyDescent="0.3">
      <c r="A597" s="25" t="s">
        <v>2596</v>
      </c>
      <c r="B597" s="11" t="s">
        <v>2598</v>
      </c>
      <c r="C597" s="6" t="s">
        <v>2599</v>
      </c>
      <c r="D597" s="6" t="s">
        <v>2599</v>
      </c>
      <c r="E597" s="6" t="s">
        <v>2599</v>
      </c>
      <c r="F597" s="6" t="s">
        <v>2599</v>
      </c>
      <c r="G597" s="6" t="s">
        <v>2599</v>
      </c>
      <c r="H597" s="6" t="s">
        <v>2599</v>
      </c>
      <c r="I597" s="6" t="s">
        <v>2599</v>
      </c>
      <c r="J597" s="6" t="s">
        <v>2599</v>
      </c>
      <c r="K597" s="6" t="s">
        <v>2599</v>
      </c>
      <c r="L597" s="6" t="s">
        <v>2599</v>
      </c>
      <c r="M597" s="6" t="s">
        <v>2599</v>
      </c>
      <c r="N597" s="6" t="s">
        <v>2599</v>
      </c>
      <c r="O597" s="6" t="s">
        <v>2599</v>
      </c>
      <c r="P597" s="6" t="s">
        <v>2599</v>
      </c>
      <c r="Q597" s="6" t="s">
        <v>2599</v>
      </c>
      <c r="R597" s="6" t="s">
        <v>2599</v>
      </c>
      <c r="S597" s="6" t="s">
        <v>2599</v>
      </c>
      <c r="T597" s="6" t="s">
        <v>2599</v>
      </c>
      <c r="U597" s="6" t="s">
        <v>2599</v>
      </c>
      <c r="V597" s="6" t="s">
        <v>2599</v>
      </c>
      <c r="W597" s="6" t="s">
        <v>2676</v>
      </c>
      <c r="X597" s="6" t="s">
        <v>2677</v>
      </c>
      <c r="Y597" s="6" t="s">
        <v>2678</v>
      </c>
      <c r="Z597" s="6" t="s">
        <v>2679</v>
      </c>
      <c r="AA597" s="6" t="s">
        <v>2680</v>
      </c>
      <c r="AB597" s="6" t="s">
        <v>2681</v>
      </c>
      <c r="AC597" s="6" t="s">
        <v>2682</v>
      </c>
      <c r="AD597" s="6" t="s">
        <v>2683</v>
      </c>
      <c r="AE597" s="6" t="s">
        <v>2693</v>
      </c>
      <c r="AF597" s="6" t="s">
        <v>2694</v>
      </c>
    </row>
    <row r="598" spans="1:32" x14ac:dyDescent="0.3">
      <c r="B598" s="17"/>
      <c r="C598" s="15" t="s">
        <v>511</v>
      </c>
      <c r="D598" s="5"/>
      <c r="E598" s="5"/>
      <c r="F598" s="5"/>
      <c r="G598" s="5"/>
      <c r="H598" s="5"/>
      <c r="I598" s="5"/>
      <c r="J598" s="5"/>
      <c r="K598" s="5"/>
      <c r="L598" s="5"/>
      <c r="M598" s="5"/>
      <c r="N598" s="5"/>
      <c r="O598" s="5"/>
      <c r="P598" s="5"/>
    </row>
    <row r="599" spans="1:32" x14ac:dyDescent="0.3">
      <c r="B599" s="62" t="s">
        <v>306</v>
      </c>
      <c r="C599" s="21" t="s">
        <v>184</v>
      </c>
      <c r="D599" s="5" t="s">
        <v>185</v>
      </c>
      <c r="E599" s="5" t="s">
        <v>186</v>
      </c>
      <c r="F599" s="5" t="s">
        <v>187</v>
      </c>
      <c r="G599" s="5" t="s">
        <v>188</v>
      </c>
      <c r="H599" s="5" t="s">
        <v>189</v>
      </c>
      <c r="I599" s="5" t="s">
        <v>190</v>
      </c>
      <c r="J599" s="5" t="s">
        <v>191</v>
      </c>
      <c r="K599" s="5"/>
      <c r="L599" s="5"/>
      <c r="M599" s="5"/>
      <c r="N599" s="5"/>
      <c r="O599" s="5"/>
      <c r="P599" s="5"/>
    </row>
    <row r="600" spans="1:32" x14ac:dyDescent="0.3">
      <c r="B600" s="11" t="s">
        <v>496</v>
      </c>
      <c r="C600" s="115">
        <v>1.5</v>
      </c>
      <c r="D600" s="5"/>
      <c r="E600" s="5"/>
      <c r="F600" s="5"/>
      <c r="G600" s="5"/>
      <c r="H600" s="5"/>
      <c r="I600" s="5"/>
      <c r="J600" s="5"/>
      <c r="K600" s="5"/>
      <c r="L600" s="5"/>
      <c r="M600" s="5"/>
      <c r="N600" s="5"/>
      <c r="O600" s="5"/>
      <c r="P600" s="5"/>
    </row>
    <row r="601" spans="1:32" x14ac:dyDescent="0.3">
      <c r="B601" s="11" t="s">
        <v>904</v>
      </c>
      <c r="C601" s="6" t="s">
        <v>17</v>
      </c>
      <c r="D601" s="5"/>
      <c r="E601" s="5"/>
      <c r="F601" s="5"/>
      <c r="G601" s="5"/>
      <c r="H601" s="5"/>
      <c r="I601" s="5"/>
      <c r="J601" s="5"/>
      <c r="K601" s="5"/>
      <c r="L601" s="5"/>
      <c r="M601" s="5"/>
      <c r="N601" s="5"/>
      <c r="O601" s="5"/>
      <c r="P601" s="5"/>
    </row>
    <row r="602" spans="1:32" x14ac:dyDescent="0.3">
      <c r="B602" s="11" t="s">
        <v>903</v>
      </c>
      <c r="C602" s="115">
        <v>1.5</v>
      </c>
      <c r="D602" s="5"/>
      <c r="E602" s="5"/>
      <c r="F602" s="5"/>
      <c r="G602" s="5"/>
      <c r="H602" s="5"/>
      <c r="I602" s="5"/>
      <c r="J602" s="5"/>
      <c r="K602" s="5"/>
      <c r="L602" s="5"/>
      <c r="M602" s="5"/>
      <c r="N602" s="5"/>
      <c r="O602" s="5"/>
      <c r="P602" s="5"/>
    </row>
    <row r="603" spans="1:32" x14ac:dyDescent="0.3">
      <c r="A603" s="25" t="s">
        <v>1552</v>
      </c>
      <c r="B603" s="11" t="s">
        <v>1684</v>
      </c>
      <c r="C603" s="115">
        <v>0</v>
      </c>
      <c r="D603" s="5"/>
      <c r="E603" s="5"/>
      <c r="F603" s="5"/>
      <c r="G603" s="5"/>
      <c r="H603" s="5"/>
      <c r="I603" s="5"/>
      <c r="J603" s="5"/>
      <c r="K603" s="5"/>
      <c r="L603" s="5"/>
      <c r="M603" s="5"/>
      <c r="N603" s="5"/>
      <c r="O603" s="5"/>
      <c r="P603" s="5"/>
    </row>
    <row r="604" spans="1:32" x14ac:dyDescent="0.3">
      <c r="B604" s="17"/>
      <c r="C604" s="15" t="s">
        <v>511</v>
      </c>
      <c r="D604" s="5"/>
      <c r="E604" s="5"/>
      <c r="F604" s="5"/>
      <c r="G604" s="5"/>
      <c r="H604" s="5"/>
      <c r="I604" s="5"/>
      <c r="J604" s="5"/>
      <c r="K604" s="5"/>
      <c r="L604" s="5"/>
      <c r="M604" s="5"/>
      <c r="N604" s="5"/>
      <c r="O604" s="5"/>
      <c r="P604" s="5"/>
    </row>
    <row r="605" spans="1:32" x14ac:dyDescent="0.3">
      <c r="A605" s="25" t="s">
        <v>1552</v>
      </c>
      <c r="B605" s="62" t="s">
        <v>1553</v>
      </c>
      <c r="C605" s="21" t="s">
        <v>110</v>
      </c>
      <c r="D605" s="21" t="s">
        <v>111</v>
      </c>
      <c r="E605" s="21" t="s">
        <v>112</v>
      </c>
      <c r="F605" s="5" t="s">
        <v>113</v>
      </c>
      <c r="G605" s="5" t="s">
        <v>114</v>
      </c>
      <c r="H605" s="5" t="s">
        <v>115</v>
      </c>
      <c r="I605" s="5" t="s">
        <v>116</v>
      </c>
      <c r="J605" s="5" t="s">
        <v>117</v>
      </c>
      <c r="K605" s="5"/>
      <c r="L605" s="5"/>
      <c r="M605" s="5"/>
      <c r="N605" s="5"/>
      <c r="O605" s="5"/>
      <c r="P605" s="5"/>
    </row>
    <row r="606" spans="1:32" x14ac:dyDescent="0.3">
      <c r="B606" s="11" t="s">
        <v>1554</v>
      </c>
      <c r="C606" s="6">
        <v>1.04</v>
      </c>
      <c r="D606" s="6">
        <v>1.04</v>
      </c>
      <c r="E606" s="6">
        <v>1.04</v>
      </c>
      <c r="F606" s="5"/>
      <c r="G606" s="5"/>
      <c r="H606" s="5"/>
      <c r="I606" s="5"/>
      <c r="J606" s="5"/>
      <c r="K606" s="5"/>
      <c r="L606" s="5"/>
      <c r="M606" s="5"/>
      <c r="N606" s="5"/>
      <c r="O606" s="5"/>
      <c r="P606" s="5"/>
    </row>
    <row r="607" spans="1:32" x14ac:dyDescent="0.3">
      <c r="B607" s="11" t="s">
        <v>1555</v>
      </c>
      <c r="C607" s="6">
        <v>0.5</v>
      </c>
      <c r="D607" s="6">
        <v>0.5</v>
      </c>
      <c r="E607" s="6">
        <v>0.5</v>
      </c>
      <c r="F607" s="5"/>
      <c r="G607" s="5"/>
      <c r="H607" s="5"/>
      <c r="I607" s="5"/>
      <c r="J607" s="5"/>
      <c r="K607" s="5"/>
      <c r="L607" s="5"/>
      <c r="M607" s="5"/>
      <c r="N607" s="5"/>
      <c r="O607" s="5"/>
      <c r="P607" s="5"/>
    </row>
    <row r="608" spans="1:32" x14ac:dyDescent="0.3">
      <c r="B608" s="11" t="s">
        <v>1556</v>
      </c>
      <c r="C608" s="6">
        <v>0.1</v>
      </c>
      <c r="D608" s="6">
        <v>0.1</v>
      </c>
      <c r="E608" s="6">
        <v>0.1</v>
      </c>
      <c r="F608" s="5"/>
      <c r="G608" s="5"/>
      <c r="H608" s="5"/>
      <c r="I608" s="5"/>
      <c r="J608" s="5"/>
      <c r="K608" s="5"/>
      <c r="L608" s="5"/>
      <c r="M608" s="5"/>
      <c r="N608" s="5"/>
      <c r="O608" s="5"/>
      <c r="P608" s="5"/>
    </row>
    <row r="609" spans="1:16" x14ac:dyDescent="0.3">
      <c r="B609" s="11" t="s">
        <v>1557</v>
      </c>
      <c r="C609" s="6">
        <v>0.1</v>
      </c>
      <c r="D609" s="6">
        <v>0.1</v>
      </c>
      <c r="E609" s="6">
        <v>0.1</v>
      </c>
      <c r="F609" s="5"/>
      <c r="G609" s="5"/>
      <c r="H609" s="5"/>
      <c r="I609" s="5"/>
      <c r="J609" s="5"/>
      <c r="K609" s="5"/>
      <c r="L609" s="5"/>
      <c r="M609" s="5"/>
      <c r="N609" s="5"/>
      <c r="O609" s="5"/>
      <c r="P609" s="5"/>
    </row>
    <row r="610" spans="1:16" x14ac:dyDescent="0.3">
      <c r="B610" s="17"/>
      <c r="C610" s="15" t="s">
        <v>511</v>
      </c>
      <c r="D610" s="5"/>
      <c r="E610" s="5"/>
      <c r="F610" s="5"/>
      <c r="G610" s="5"/>
      <c r="H610" s="5"/>
      <c r="I610" s="5"/>
      <c r="J610" s="5"/>
      <c r="K610" s="5"/>
      <c r="L610" s="5"/>
      <c r="M610" s="5"/>
      <c r="N610" s="5"/>
      <c r="O610" s="5"/>
      <c r="P610" s="5"/>
    </row>
    <row r="611" spans="1:16" x14ac:dyDescent="0.3">
      <c r="A611" s="25" t="s">
        <v>1552</v>
      </c>
      <c r="B611" s="62" t="s">
        <v>1558</v>
      </c>
      <c r="C611" s="21" t="s">
        <v>110</v>
      </c>
      <c r="D611" s="21" t="s">
        <v>111</v>
      </c>
      <c r="E611" s="21" t="s">
        <v>112</v>
      </c>
      <c r="F611" s="5" t="s">
        <v>113</v>
      </c>
      <c r="G611" s="5" t="s">
        <v>114</v>
      </c>
      <c r="H611" s="5" t="s">
        <v>115</v>
      </c>
      <c r="I611" s="5" t="s">
        <v>116</v>
      </c>
      <c r="J611" s="5" t="s">
        <v>117</v>
      </c>
      <c r="K611" s="5"/>
      <c r="L611" s="5"/>
      <c r="M611" s="5"/>
      <c r="N611" s="5"/>
      <c r="O611" s="5"/>
      <c r="P611" s="5"/>
    </row>
    <row r="612" spans="1:16" x14ac:dyDescent="0.3">
      <c r="B612" s="11" t="s">
        <v>1560</v>
      </c>
      <c r="C612" s="6">
        <v>5.0000000000000001E-3</v>
      </c>
      <c r="D612" s="6">
        <v>5.0000000000000001E-3</v>
      </c>
      <c r="E612" s="6">
        <v>5.0000000000000001E-3</v>
      </c>
      <c r="F612" s="5"/>
      <c r="G612" s="5"/>
      <c r="H612" s="5"/>
      <c r="I612" s="5"/>
      <c r="J612" s="5"/>
      <c r="K612" s="5"/>
      <c r="L612" s="5"/>
      <c r="M612" s="5"/>
      <c r="N612" s="5"/>
      <c r="O612" s="5"/>
      <c r="P612" s="5"/>
    </row>
    <row r="613" spans="1:16" x14ac:dyDescent="0.3">
      <c r="B613" s="11" t="s">
        <v>1561</v>
      </c>
      <c r="C613" s="6">
        <v>1.04</v>
      </c>
      <c r="D613" s="6">
        <v>1.04</v>
      </c>
      <c r="E613" s="6">
        <v>1.04</v>
      </c>
      <c r="F613" s="5"/>
      <c r="G613" s="5"/>
      <c r="H613" s="5"/>
      <c r="I613" s="5"/>
      <c r="J613" s="5"/>
      <c r="K613" s="5"/>
      <c r="L613" s="5"/>
      <c r="M613" s="5"/>
      <c r="N613" s="5"/>
      <c r="O613" s="5"/>
      <c r="P613" s="5"/>
    </row>
    <row r="614" spans="1:16" x14ac:dyDescent="0.3">
      <c r="B614" s="11" t="s">
        <v>1564</v>
      </c>
      <c r="C614" s="116">
        <v>0.1</v>
      </c>
      <c r="D614" s="116">
        <v>0.1</v>
      </c>
      <c r="E614" s="116">
        <v>0.1</v>
      </c>
      <c r="F614" s="5"/>
      <c r="G614" s="5"/>
      <c r="H614" s="5"/>
      <c r="I614" s="5"/>
      <c r="J614" s="5"/>
      <c r="K614" s="5"/>
      <c r="L614" s="5"/>
      <c r="M614" s="5"/>
      <c r="N614" s="5"/>
      <c r="O614" s="5"/>
      <c r="P614" s="5"/>
    </row>
    <row r="615" spans="1:16" x14ac:dyDescent="0.3">
      <c r="B615" s="11" t="s">
        <v>1566</v>
      </c>
      <c r="C615" s="6">
        <v>0.05</v>
      </c>
      <c r="D615" s="6">
        <v>0.05</v>
      </c>
      <c r="E615" s="6">
        <v>0.05</v>
      </c>
      <c r="F615" s="5"/>
      <c r="G615" s="5"/>
      <c r="H615" s="5"/>
      <c r="I615" s="5"/>
      <c r="J615" s="5"/>
      <c r="K615" s="5"/>
      <c r="L615" s="5"/>
      <c r="M615" s="5"/>
      <c r="N615" s="5"/>
      <c r="O615" s="5"/>
      <c r="P615" s="5"/>
    </row>
    <row r="616" spans="1:16" x14ac:dyDescent="0.3">
      <c r="B616" s="17"/>
      <c r="C616" s="15" t="s">
        <v>511</v>
      </c>
      <c r="D616" s="5"/>
      <c r="E616" s="5"/>
      <c r="F616" s="5"/>
      <c r="G616" s="5"/>
      <c r="H616" s="5"/>
      <c r="I616" s="5"/>
      <c r="J616" s="5"/>
      <c r="K616" s="5"/>
      <c r="L616" s="5"/>
      <c r="M616" s="5"/>
      <c r="N616" s="5"/>
      <c r="O616" s="5"/>
      <c r="P616" s="5"/>
    </row>
    <row r="617" spans="1:16" x14ac:dyDescent="0.3">
      <c r="A617" s="25" t="s">
        <v>1552</v>
      </c>
      <c r="B617" s="62" t="s">
        <v>1559</v>
      </c>
      <c r="C617" s="21" t="s">
        <v>110</v>
      </c>
      <c r="D617" s="21" t="s">
        <v>111</v>
      </c>
      <c r="E617" s="21" t="s">
        <v>112</v>
      </c>
      <c r="F617" s="5" t="s">
        <v>113</v>
      </c>
      <c r="G617" s="5" t="s">
        <v>114</v>
      </c>
      <c r="H617" s="5" t="s">
        <v>115</v>
      </c>
      <c r="I617" s="5" t="s">
        <v>116</v>
      </c>
      <c r="J617" s="5" t="s">
        <v>117</v>
      </c>
      <c r="K617" s="5"/>
      <c r="L617" s="5"/>
      <c r="M617" s="5"/>
      <c r="N617" s="5"/>
      <c r="O617" s="5"/>
      <c r="P617" s="5"/>
    </row>
    <row r="618" spans="1:16" x14ac:dyDescent="0.3">
      <c r="B618" s="11" t="s">
        <v>1563</v>
      </c>
      <c r="C618" s="6">
        <v>4.0000000000000001E-3</v>
      </c>
      <c r="D618" s="6">
        <v>4.0000000000000001E-3</v>
      </c>
      <c r="E618" s="6">
        <v>4.0000000000000001E-3</v>
      </c>
      <c r="F618" s="5"/>
      <c r="G618" s="5"/>
      <c r="H618" s="5"/>
      <c r="I618" s="5"/>
      <c r="J618" s="5"/>
      <c r="K618" s="5"/>
      <c r="L618" s="5"/>
      <c r="M618" s="5"/>
      <c r="N618" s="5"/>
      <c r="O618" s="5"/>
      <c r="P618" s="5"/>
    </row>
    <row r="619" spans="1:16" x14ac:dyDescent="0.3">
      <c r="B619" s="11" t="s">
        <v>1562</v>
      </c>
      <c r="C619" s="6">
        <v>1.04</v>
      </c>
      <c r="D619" s="6">
        <v>1.04</v>
      </c>
      <c r="E619" s="6">
        <v>1.04</v>
      </c>
      <c r="F619" s="5"/>
      <c r="G619" s="5"/>
      <c r="H619" s="5"/>
      <c r="I619" s="5"/>
      <c r="J619" s="5"/>
      <c r="K619" s="5"/>
      <c r="L619" s="5"/>
      <c r="M619" s="5"/>
      <c r="N619" s="5"/>
      <c r="O619" s="5"/>
      <c r="P619" s="5"/>
    </row>
    <row r="620" spans="1:16" x14ac:dyDescent="0.3">
      <c r="B620" s="11" t="s">
        <v>1565</v>
      </c>
      <c r="C620" s="6">
        <v>0.05</v>
      </c>
      <c r="D620" s="6">
        <v>0.05</v>
      </c>
      <c r="E620" s="6">
        <v>0.05</v>
      </c>
      <c r="F620" s="5"/>
      <c r="G620" s="5"/>
      <c r="H620" s="5"/>
      <c r="I620" s="5"/>
      <c r="J620" s="5"/>
      <c r="K620" s="5"/>
      <c r="L620" s="5"/>
      <c r="M620" s="5"/>
      <c r="N620" s="5"/>
      <c r="O620" s="5"/>
      <c r="P620" s="5"/>
    </row>
    <row r="621" spans="1:16" x14ac:dyDescent="0.3">
      <c r="B621" s="17"/>
      <c r="C621" s="15" t="s">
        <v>511</v>
      </c>
      <c r="D621" s="5"/>
      <c r="E621" s="5"/>
      <c r="F621" s="5"/>
      <c r="G621" s="5"/>
      <c r="H621" s="5"/>
      <c r="I621" s="5"/>
      <c r="J621" s="5"/>
      <c r="K621" s="5"/>
      <c r="L621" s="5"/>
      <c r="M621" s="5"/>
      <c r="N621" s="5"/>
      <c r="O621" s="5"/>
      <c r="P621" s="5"/>
    </row>
    <row r="622" spans="1:16" x14ac:dyDescent="0.3">
      <c r="A622" s="25" t="s">
        <v>1552</v>
      </c>
      <c r="B622" s="62" t="s">
        <v>1568</v>
      </c>
      <c r="C622" s="21" t="s">
        <v>110</v>
      </c>
      <c r="D622" s="21" t="s">
        <v>111</v>
      </c>
      <c r="E622" s="21" t="s">
        <v>112</v>
      </c>
      <c r="F622" s="5" t="s">
        <v>113</v>
      </c>
      <c r="G622" s="5" t="s">
        <v>114</v>
      </c>
      <c r="H622" s="5" t="s">
        <v>115</v>
      </c>
      <c r="I622" s="5" t="s">
        <v>116</v>
      </c>
      <c r="J622" s="5" t="s">
        <v>117</v>
      </c>
      <c r="K622" s="5"/>
      <c r="L622" s="5"/>
      <c r="M622" s="5"/>
      <c r="N622" s="5"/>
      <c r="O622" s="5"/>
      <c r="P622" s="5"/>
    </row>
    <row r="623" spans="1:16" x14ac:dyDescent="0.3">
      <c r="B623" s="11" t="s">
        <v>1816</v>
      </c>
      <c r="C623" s="116">
        <v>0</v>
      </c>
      <c r="D623" s="116">
        <v>0</v>
      </c>
      <c r="E623" s="116">
        <v>0</v>
      </c>
      <c r="F623" s="5"/>
      <c r="G623" s="5"/>
      <c r="H623" s="5"/>
      <c r="I623" s="5"/>
      <c r="J623" s="5"/>
      <c r="K623" s="5"/>
      <c r="L623" s="5"/>
      <c r="M623" s="5"/>
      <c r="N623" s="5"/>
      <c r="O623" s="5"/>
      <c r="P623" s="5"/>
    </row>
    <row r="624" spans="1:16" x14ac:dyDescent="0.3">
      <c r="B624" s="11" t="s">
        <v>2008</v>
      </c>
      <c r="C624" s="116">
        <v>1</v>
      </c>
      <c r="D624" s="116">
        <v>1</v>
      </c>
      <c r="E624" s="116">
        <v>1</v>
      </c>
      <c r="F624" s="5"/>
      <c r="G624" s="5"/>
      <c r="H624" s="5"/>
      <c r="I624" s="5"/>
      <c r="J624" s="5"/>
      <c r="K624" s="5"/>
      <c r="L624" s="5"/>
      <c r="M624" s="5"/>
      <c r="N624" s="5"/>
      <c r="O624" s="5"/>
      <c r="P624" s="5"/>
    </row>
    <row r="625" spans="1:16" x14ac:dyDescent="0.3">
      <c r="B625" s="11" t="s">
        <v>1815</v>
      </c>
      <c r="C625" s="116">
        <v>4</v>
      </c>
      <c r="D625" s="116">
        <v>4</v>
      </c>
      <c r="E625" s="116">
        <v>4</v>
      </c>
      <c r="F625" s="5"/>
      <c r="G625" s="5"/>
      <c r="H625" s="5"/>
      <c r="I625" s="5"/>
      <c r="J625" s="5"/>
      <c r="K625" s="5"/>
      <c r="L625" s="5"/>
      <c r="M625" s="5"/>
      <c r="N625" s="5"/>
      <c r="O625" s="5"/>
      <c r="P625" s="5"/>
    </row>
    <row r="626" spans="1:16" x14ac:dyDescent="0.3">
      <c r="B626" s="11" t="s">
        <v>2007</v>
      </c>
      <c r="C626" s="116">
        <v>0.2</v>
      </c>
      <c r="D626" s="116">
        <v>0.2</v>
      </c>
      <c r="E626" s="116">
        <v>0.2</v>
      </c>
      <c r="F626" s="5"/>
      <c r="G626" s="5"/>
      <c r="H626" s="5"/>
      <c r="I626" s="5"/>
      <c r="J626" s="5"/>
      <c r="K626" s="5"/>
      <c r="L626" s="5"/>
      <c r="M626" s="5"/>
      <c r="N626" s="5"/>
      <c r="O626" s="5"/>
      <c r="P626" s="5"/>
    </row>
    <row r="627" spans="1:16" x14ac:dyDescent="0.3">
      <c r="B627" s="11" t="s">
        <v>1814</v>
      </c>
      <c r="C627" s="116">
        <v>2</v>
      </c>
      <c r="D627" s="116">
        <v>2</v>
      </c>
      <c r="E627" s="116">
        <v>2</v>
      </c>
      <c r="F627" s="5"/>
      <c r="G627" s="5"/>
      <c r="H627" s="5"/>
      <c r="I627" s="5"/>
      <c r="J627" s="5"/>
      <c r="K627" s="5"/>
      <c r="L627" s="5"/>
      <c r="M627" s="5"/>
      <c r="N627" s="5"/>
      <c r="O627" s="5"/>
      <c r="P627" s="5"/>
    </row>
    <row r="628" spans="1:16" x14ac:dyDescent="0.3">
      <c r="B628" s="17"/>
      <c r="C628" s="15" t="s">
        <v>511</v>
      </c>
      <c r="D628" s="5"/>
      <c r="E628" s="5"/>
      <c r="F628" s="5"/>
      <c r="G628" s="5"/>
      <c r="H628" s="5"/>
      <c r="I628" s="5"/>
      <c r="J628" s="5"/>
      <c r="K628" s="5"/>
      <c r="L628" s="5"/>
      <c r="M628" s="5"/>
      <c r="N628" s="5"/>
      <c r="O628" s="5"/>
      <c r="P628" s="5"/>
    </row>
    <row r="629" spans="1:16" x14ac:dyDescent="0.3">
      <c r="A629" s="25" t="s">
        <v>1552</v>
      </c>
      <c r="B629" s="62" t="s">
        <v>1567</v>
      </c>
      <c r="C629" s="21" t="s">
        <v>110</v>
      </c>
      <c r="D629" s="21" t="s">
        <v>111</v>
      </c>
      <c r="E629" s="21" t="s">
        <v>112</v>
      </c>
      <c r="F629" s="5" t="s">
        <v>113</v>
      </c>
      <c r="G629" s="5" t="s">
        <v>114</v>
      </c>
      <c r="H629" s="5" t="s">
        <v>115</v>
      </c>
      <c r="I629" s="5" t="s">
        <v>116</v>
      </c>
      <c r="J629" s="5" t="s">
        <v>117</v>
      </c>
      <c r="K629" s="5"/>
      <c r="L629" s="5"/>
      <c r="M629" s="5"/>
      <c r="N629" s="5"/>
      <c r="O629" s="5"/>
      <c r="P629" s="5"/>
    </row>
    <row r="630" spans="1:16" x14ac:dyDescent="0.3">
      <c r="B630" s="11" t="s">
        <v>1809</v>
      </c>
      <c r="C630" s="116">
        <v>0</v>
      </c>
      <c r="D630" s="116">
        <v>0</v>
      </c>
      <c r="E630" s="116">
        <v>0</v>
      </c>
      <c r="F630" s="5"/>
      <c r="G630" s="5"/>
      <c r="H630" s="5"/>
      <c r="I630" s="5"/>
      <c r="J630" s="5"/>
      <c r="K630" s="5"/>
      <c r="L630" s="5"/>
      <c r="M630" s="5"/>
      <c r="N630" s="5"/>
      <c r="O630" s="5"/>
      <c r="P630" s="5"/>
    </row>
    <row r="631" spans="1:16" x14ac:dyDescent="0.3">
      <c r="B631" s="11" t="s">
        <v>1810</v>
      </c>
      <c r="C631" s="116">
        <v>1</v>
      </c>
      <c r="D631" s="116">
        <v>1</v>
      </c>
      <c r="E631" s="116">
        <v>1</v>
      </c>
      <c r="F631" s="5"/>
      <c r="G631" s="5"/>
      <c r="H631" s="5"/>
      <c r="I631" s="5"/>
      <c r="J631" s="5"/>
      <c r="K631" s="5"/>
      <c r="L631" s="5"/>
      <c r="M631" s="5"/>
      <c r="N631" s="5"/>
      <c r="O631" s="5"/>
      <c r="P631" s="5"/>
    </row>
    <row r="632" spans="1:16" x14ac:dyDescent="0.3">
      <c r="B632" s="11" t="s">
        <v>1811</v>
      </c>
      <c r="C632" s="116">
        <v>4</v>
      </c>
      <c r="D632" s="116">
        <v>4</v>
      </c>
      <c r="E632" s="116">
        <v>4</v>
      </c>
      <c r="F632" s="5"/>
      <c r="G632" s="5"/>
      <c r="H632" s="5"/>
      <c r="I632" s="5"/>
      <c r="J632" s="5"/>
      <c r="K632" s="5"/>
      <c r="L632" s="5"/>
      <c r="M632" s="5"/>
      <c r="N632" s="5"/>
      <c r="O632" s="5"/>
      <c r="P632" s="5"/>
    </row>
    <row r="633" spans="1:16" x14ac:dyDescent="0.3">
      <c r="B633" s="11" t="s">
        <v>1812</v>
      </c>
      <c r="C633" s="116">
        <v>0.2</v>
      </c>
      <c r="D633" s="116">
        <v>0.2</v>
      </c>
      <c r="E633" s="116">
        <v>0.2</v>
      </c>
      <c r="F633" s="5"/>
      <c r="G633" s="5"/>
      <c r="H633" s="5"/>
      <c r="I633" s="5"/>
      <c r="J633" s="5"/>
      <c r="K633" s="5"/>
      <c r="L633" s="5"/>
      <c r="M633" s="5"/>
      <c r="N633" s="5"/>
      <c r="O633" s="5"/>
      <c r="P633" s="5"/>
    </row>
    <row r="634" spans="1:16" x14ac:dyDescent="0.3">
      <c r="B634" s="11" t="s">
        <v>1813</v>
      </c>
      <c r="C634" s="116">
        <v>2</v>
      </c>
      <c r="D634" s="116">
        <v>2</v>
      </c>
      <c r="E634" s="116">
        <v>2</v>
      </c>
      <c r="F634" s="5"/>
      <c r="G634" s="5"/>
      <c r="H634" s="5"/>
      <c r="I634" s="5"/>
      <c r="J634" s="5"/>
      <c r="K634" s="5"/>
      <c r="L634" s="5"/>
      <c r="M634" s="5"/>
      <c r="N634" s="5"/>
      <c r="O634" s="5"/>
      <c r="P634" s="5"/>
    </row>
    <row r="635" spans="1:16" x14ac:dyDescent="0.3">
      <c r="B635" s="17"/>
      <c r="C635" s="15" t="s">
        <v>511</v>
      </c>
      <c r="D635" s="5"/>
      <c r="E635" s="5"/>
      <c r="F635" s="5"/>
      <c r="G635" s="5"/>
      <c r="H635" s="5"/>
      <c r="I635" s="5"/>
      <c r="J635" s="5"/>
      <c r="K635" s="5"/>
      <c r="L635" s="5"/>
      <c r="M635" s="5"/>
    </row>
    <row r="636" spans="1:16" x14ac:dyDescent="0.3">
      <c r="B636" s="62" t="s">
        <v>227</v>
      </c>
      <c r="C636" s="21" t="s">
        <v>83</v>
      </c>
      <c r="D636" s="5" t="s">
        <v>84</v>
      </c>
      <c r="E636" s="5" t="s">
        <v>85</v>
      </c>
      <c r="F636" s="5" t="s">
        <v>1046</v>
      </c>
      <c r="G636" s="5" t="s">
        <v>1047</v>
      </c>
      <c r="H636" s="5" t="s">
        <v>1048</v>
      </c>
      <c r="I636" s="5" t="s">
        <v>1049</v>
      </c>
      <c r="J636" s="5" t="s">
        <v>1050</v>
      </c>
      <c r="K636" s="5"/>
      <c r="L636" s="5"/>
      <c r="M636" s="5"/>
    </row>
    <row r="637" spans="1:16" x14ac:dyDescent="0.3">
      <c r="B637" s="11" t="s">
        <v>497</v>
      </c>
      <c r="C637" s="115">
        <v>1.5</v>
      </c>
      <c r="D637" s="5"/>
      <c r="E637" s="5"/>
      <c r="F637" s="5"/>
      <c r="G637" s="5"/>
      <c r="H637" s="5"/>
      <c r="I637" s="5"/>
      <c r="J637" s="5"/>
      <c r="K637" s="5"/>
      <c r="L637" s="5"/>
      <c r="M637" s="5"/>
    </row>
    <row r="638" spans="1:16" x14ac:dyDescent="0.3">
      <c r="B638" s="11" t="s">
        <v>1260</v>
      </c>
      <c r="C638" s="6">
        <v>0.1</v>
      </c>
      <c r="D638" s="5"/>
      <c r="E638" s="5"/>
      <c r="F638" s="5"/>
      <c r="G638" s="5"/>
      <c r="H638" s="5"/>
      <c r="I638" s="5"/>
      <c r="J638" s="5"/>
      <c r="K638" s="5"/>
      <c r="L638" s="5"/>
      <c r="M638" s="5"/>
    </row>
    <row r="639" spans="1:16" x14ac:dyDescent="0.3">
      <c r="B639" s="11" t="s">
        <v>308</v>
      </c>
      <c r="C639" s="6">
        <v>0.04</v>
      </c>
      <c r="D639" s="5"/>
      <c r="E639" s="5"/>
      <c r="F639" s="5"/>
      <c r="G639" s="5"/>
      <c r="H639" s="5"/>
      <c r="I639" s="5"/>
      <c r="J639" s="5"/>
      <c r="K639" s="5"/>
      <c r="L639" s="5"/>
      <c r="M639" s="5"/>
    </row>
    <row r="640" spans="1:16" x14ac:dyDescent="0.3">
      <c r="B640" s="11" t="s">
        <v>309</v>
      </c>
      <c r="C640" s="6">
        <v>0.1</v>
      </c>
      <c r="D640" s="5"/>
      <c r="E640" s="5"/>
      <c r="F640" s="5"/>
      <c r="G640" s="5"/>
      <c r="H640" s="5"/>
      <c r="I640" s="5"/>
      <c r="J640" s="5"/>
      <c r="K640" s="5"/>
      <c r="L640" s="5"/>
      <c r="M640" s="5"/>
    </row>
    <row r="641" spans="2:13" x14ac:dyDescent="0.3">
      <c r="B641" s="11" t="s">
        <v>498</v>
      </c>
      <c r="C641" s="6">
        <v>0.1</v>
      </c>
      <c r="D641" s="5"/>
      <c r="E641" s="5"/>
      <c r="F641" s="5"/>
      <c r="G641" s="5"/>
      <c r="H641" s="5"/>
      <c r="I641" s="5"/>
      <c r="J641" s="5"/>
      <c r="K641" s="5"/>
      <c r="L641" s="5"/>
      <c r="M641" s="5"/>
    </row>
    <row r="642" spans="2:13" x14ac:dyDescent="0.3">
      <c r="B642" s="11" t="s">
        <v>499</v>
      </c>
      <c r="C642" s="6">
        <v>3.0000000000000001E-3</v>
      </c>
      <c r="D642" s="5"/>
      <c r="E642" s="5"/>
      <c r="F642" s="5"/>
      <c r="G642" s="5"/>
      <c r="H642" s="5"/>
      <c r="I642" s="5"/>
      <c r="J642" s="5"/>
      <c r="K642" s="5"/>
      <c r="L642" s="5"/>
      <c r="M642" s="5"/>
    </row>
    <row r="643" spans="2:13" x14ac:dyDescent="0.3">
      <c r="B643" s="11" t="s">
        <v>500</v>
      </c>
      <c r="C643" s="6">
        <v>1.4E-2</v>
      </c>
      <c r="D643" s="5"/>
      <c r="E643" s="5"/>
      <c r="F643" s="5"/>
      <c r="G643" s="5"/>
      <c r="H643" s="5"/>
      <c r="I643" s="5"/>
      <c r="J643" s="5"/>
      <c r="K643" s="5"/>
      <c r="L643" s="5"/>
      <c r="M643" s="5"/>
    </row>
    <row r="644" spans="2:13" x14ac:dyDescent="0.3">
      <c r="B644" s="11" t="s">
        <v>501</v>
      </c>
      <c r="C644" s="54">
        <v>0</v>
      </c>
      <c r="D644" s="5"/>
      <c r="E644" s="5"/>
      <c r="F644" s="5"/>
      <c r="G644" s="5"/>
      <c r="H644" s="5"/>
      <c r="I644" s="5"/>
      <c r="J644" s="5"/>
      <c r="K644" s="5"/>
      <c r="L644" s="5"/>
      <c r="M644" s="5"/>
    </row>
    <row r="645" spans="2:13" x14ac:dyDescent="0.3">
      <c r="B645" s="11" t="s">
        <v>1261</v>
      </c>
      <c r="C645" s="6">
        <v>75</v>
      </c>
      <c r="D645" s="5"/>
      <c r="E645" s="5"/>
      <c r="F645" s="5"/>
      <c r="G645" s="5"/>
      <c r="H645" s="5"/>
      <c r="I645" s="5"/>
      <c r="J645" s="5"/>
      <c r="K645" s="5"/>
      <c r="L645" s="5"/>
      <c r="M645" s="5"/>
    </row>
    <row r="646" spans="2:13" x14ac:dyDescent="0.3">
      <c r="B646" s="11" t="s">
        <v>661</v>
      </c>
      <c r="C646" s="6">
        <v>5</v>
      </c>
      <c r="D646" s="5"/>
      <c r="E646" s="5"/>
      <c r="F646" s="5"/>
      <c r="G646" s="5"/>
      <c r="H646" s="5"/>
      <c r="I646" s="5"/>
      <c r="J646" s="5"/>
      <c r="K646" s="5"/>
      <c r="L646" s="5"/>
      <c r="M646" s="5"/>
    </row>
    <row r="647" spans="2:13" x14ac:dyDescent="0.3">
      <c r="B647" s="11" t="s">
        <v>662</v>
      </c>
      <c r="C647" s="6">
        <v>10</v>
      </c>
      <c r="D647" s="5"/>
      <c r="E647" s="5"/>
      <c r="F647" s="5"/>
      <c r="G647" s="5"/>
      <c r="H647" s="5"/>
      <c r="I647" s="5"/>
      <c r="J647" s="5"/>
      <c r="K647" s="5"/>
      <c r="L647" s="5"/>
      <c r="M647" s="5"/>
    </row>
    <row r="648" spans="2:13" x14ac:dyDescent="0.3">
      <c r="B648" s="11" t="s">
        <v>663</v>
      </c>
      <c r="C648" s="6">
        <v>24</v>
      </c>
      <c r="D648" s="5"/>
      <c r="E648" s="5"/>
      <c r="F648" s="5"/>
      <c r="G648" s="5"/>
      <c r="H648" s="5"/>
      <c r="I648" s="5"/>
      <c r="J648" s="5"/>
      <c r="K648" s="5"/>
      <c r="L648" s="5"/>
      <c r="M648" s="5"/>
    </row>
    <row r="649" spans="2:13" x14ac:dyDescent="0.3">
      <c r="B649" s="11" t="s">
        <v>664</v>
      </c>
      <c r="C649" s="6">
        <v>30</v>
      </c>
      <c r="D649" s="5"/>
      <c r="E649" s="5"/>
      <c r="F649" s="5"/>
      <c r="G649" s="5"/>
      <c r="H649" s="5"/>
      <c r="I649" s="5"/>
      <c r="J649" s="5"/>
      <c r="K649" s="5"/>
      <c r="L649" s="5"/>
      <c r="M649" s="5"/>
    </row>
    <row r="650" spans="2:13" x14ac:dyDescent="0.3">
      <c r="B650" s="11" t="s">
        <v>665</v>
      </c>
      <c r="C650" s="6">
        <v>0.1</v>
      </c>
      <c r="D650" s="5"/>
      <c r="E650" s="5"/>
      <c r="F650" s="5"/>
      <c r="G650" s="5"/>
      <c r="H650" s="5"/>
      <c r="I650" s="5"/>
      <c r="J650" s="5"/>
      <c r="K650" s="5"/>
      <c r="L650" s="5"/>
      <c r="M650" s="5"/>
    </row>
    <row r="651" spans="2:13" x14ac:dyDescent="0.3">
      <c r="B651" s="11" t="s">
        <v>666</v>
      </c>
      <c r="C651" s="6">
        <v>0.99</v>
      </c>
      <c r="D651" s="5"/>
      <c r="E651" s="5"/>
      <c r="F651" s="5"/>
      <c r="G651" s="5"/>
      <c r="H651" s="5"/>
      <c r="I651" s="5"/>
      <c r="J651" s="5"/>
      <c r="K651" s="5"/>
      <c r="L651" s="5"/>
      <c r="M651" s="5"/>
    </row>
    <row r="652" spans="2:13" x14ac:dyDescent="0.3">
      <c r="B652" s="11" t="s">
        <v>667</v>
      </c>
      <c r="C652" s="6">
        <v>0.99</v>
      </c>
      <c r="D652" s="5"/>
      <c r="E652" s="5"/>
      <c r="F652" s="5"/>
      <c r="G652" s="5"/>
      <c r="H652" s="5"/>
      <c r="I652" s="5"/>
      <c r="J652" s="5"/>
      <c r="K652" s="5"/>
      <c r="L652" s="5"/>
      <c r="M652" s="5"/>
    </row>
    <row r="653" spans="2:13" x14ac:dyDescent="0.3">
      <c r="B653" s="11" t="s">
        <v>668</v>
      </c>
      <c r="C653" s="6">
        <v>0.1</v>
      </c>
      <c r="D653" s="5"/>
      <c r="E653" s="5"/>
      <c r="F653" s="5"/>
      <c r="G653" s="5"/>
      <c r="H653" s="5"/>
      <c r="I653" s="5"/>
      <c r="J653" s="5"/>
      <c r="K653" s="5"/>
      <c r="L653" s="5"/>
      <c r="M653" s="5"/>
    </row>
    <row r="654" spans="2:13" x14ac:dyDescent="0.3">
      <c r="B654" s="11" t="s">
        <v>669</v>
      </c>
      <c r="C654" s="6">
        <v>5.0000000000000001E-3</v>
      </c>
      <c r="D654" s="5"/>
      <c r="E654" s="5"/>
      <c r="F654" s="5"/>
      <c r="G654" s="5"/>
      <c r="H654" s="5"/>
      <c r="I654" s="5"/>
      <c r="J654" s="5"/>
      <c r="K654" s="5"/>
      <c r="L654" s="5"/>
      <c r="M654" s="5"/>
    </row>
    <row r="655" spans="2:13" x14ac:dyDescent="0.3">
      <c r="B655" s="11" t="s">
        <v>670</v>
      </c>
      <c r="C655" s="6">
        <v>0.08</v>
      </c>
      <c r="D655" s="5"/>
      <c r="E655" s="5"/>
      <c r="F655" s="5"/>
      <c r="G655" s="5"/>
      <c r="H655" s="5"/>
      <c r="I655" s="5"/>
      <c r="J655" s="5"/>
      <c r="K655" s="5"/>
      <c r="L655" s="5"/>
      <c r="M655" s="5"/>
    </row>
    <row r="656" spans="2:13" x14ac:dyDescent="0.3">
      <c r="B656" s="11" t="s">
        <v>671</v>
      </c>
      <c r="C656" s="6">
        <v>0.45</v>
      </c>
      <c r="D656" s="5"/>
      <c r="E656" s="5"/>
      <c r="F656" s="5"/>
      <c r="G656" s="5"/>
      <c r="H656" s="5"/>
      <c r="I656" s="5"/>
      <c r="J656" s="5"/>
      <c r="K656" s="5"/>
      <c r="L656" s="5"/>
      <c r="M656" s="5"/>
    </row>
    <row r="657" spans="1:13" x14ac:dyDescent="0.3">
      <c r="B657" s="11" t="s">
        <v>672</v>
      </c>
      <c r="C657" s="6">
        <v>0</v>
      </c>
      <c r="D657" s="5"/>
      <c r="E657" s="5"/>
      <c r="F657" s="5"/>
      <c r="G657" s="5"/>
      <c r="H657" s="5"/>
      <c r="I657" s="5"/>
      <c r="J657" s="5"/>
      <c r="K657" s="5"/>
      <c r="L657" s="5"/>
      <c r="M657" s="5"/>
    </row>
    <row r="658" spans="1:13" x14ac:dyDescent="0.3">
      <c r="B658" s="11" t="s">
        <v>673</v>
      </c>
      <c r="C658" s="6">
        <v>0.06</v>
      </c>
      <c r="D658" s="5"/>
      <c r="E658" s="5"/>
      <c r="F658" s="5"/>
      <c r="G658" s="5"/>
      <c r="H658" s="5"/>
      <c r="I658" s="5"/>
      <c r="J658" s="5"/>
      <c r="K658" s="5"/>
      <c r="L658" s="5"/>
      <c r="M658" s="5"/>
    </row>
    <row r="659" spans="1:13" x14ac:dyDescent="0.3">
      <c r="B659" s="11" t="s">
        <v>674</v>
      </c>
      <c r="C659" s="6">
        <v>0.8</v>
      </c>
      <c r="D659" s="5"/>
      <c r="E659" s="5"/>
      <c r="F659" s="5"/>
      <c r="G659" s="5"/>
      <c r="H659" s="5"/>
      <c r="I659" s="5"/>
      <c r="J659" s="5"/>
      <c r="K659" s="5"/>
      <c r="L659" s="5"/>
      <c r="M659" s="5"/>
    </row>
    <row r="660" spans="1:13" x14ac:dyDescent="0.3">
      <c r="B660" s="11" t="s">
        <v>675</v>
      </c>
      <c r="C660" s="6">
        <v>1</v>
      </c>
      <c r="D660" s="5"/>
      <c r="E660" s="5"/>
      <c r="F660" s="5"/>
      <c r="G660" s="5"/>
      <c r="H660" s="5"/>
      <c r="I660" s="5"/>
      <c r="J660" s="5"/>
      <c r="K660" s="5"/>
      <c r="L660" s="5"/>
      <c r="M660" s="5"/>
    </row>
    <row r="661" spans="1:13" x14ac:dyDescent="0.3">
      <c r="B661" s="11" t="s">
        <v>676</v>
      </c>
      <c r="C661" s="6">
        <v>1E-3</v>
      </c>
      <c r="D661" s="5"/>
      <c r="E661" s="5"/>
      <c r="F661" s="5"/>
      <c r="G661" s="5"/>
      <c r="H661" s="5"/>
      <c r="I661" s="5"/>
      <c r="J661" s="5"/>
      <c r="K661" s="5"/>
      <c r="L661" s="5"/>
      <c r="M661" s="5"/>
    </row>
    <row r="662" spans="1:13" x14ac:dyDescent="0.3">
      <c r="B662" s="11" t="s">
        <v>896</v>
      </c>
      <c r="C662" s="6">
        <v>1.1000000000000001</v>
      </c>
      <c r="D662" s="5"/>
      <c r="E662" s="5"/>
      <c r="F662" s="5"/>
      <c r="G662" s="5"/>
      <c r="H662" s="5"/>
      <c r="I662" s="5"/>
      <c r="J662" s="5"/>
      <c r="K662" s="5"/>
      <c r="L662" s="5"/>
      <c r="M662" s="5"/>
    </row>
    <row r="663" spans="1:13" x14ac:dyDescent="0.3">
      <c r="B663" s="11" t="s">
        <v>895</v>
      </c>
      <c r="C663" s="6">
        <v>1.4</v>
      </c>
      <c r="D663" s="5"/>
      <c r="E663" s="5"/>
      <c r="F663" s="5"/>
      <c r="G663" s="5"/>
      <c r="H663" s="5"/>
      <c r="I663" s="5"/>
      <c r="J663" s="5"/>
      <c r="K663" s="5"/>
      <c r="L663" s="5"/>
      <c r="M663" s="5"/>
    </row>
    <row r="664" spans="1:13" x14ac:dyDescent="0.3">
      <c r="A664" s="25" t="s">
        <v>2380</v>
      </c>
      <c r="B664" s="11" t="s">
        <v>2382</v>
      </c>
      <c r="C664" s="6" t="s">
        <v>17</v>
      </c>
      <c r="D664" s="5"/>
      <c r="E664" s="5"/>
      <c r="F664" s="5"/>
      <c r="G664" s="5"/>
      <c r="H664" s="5"/>
      <c r="I664" s="5"/>
      <c r="J664" s="5"/>
      <c r="K664" s="5"/>
      <c r="L664" s="5"/>
      <c r="M664" s="5"/>
    </row>
    <row r="665" spans="1:13" x14ac:dyDescent="0.3">
      <c r="B665" s="17"/>
      <c r="C665" s="5" t="s">
        <v>511</v>
      </c>
      <c r="D665" s="5"/>
      <c r="E665" s="5"/>
      <c r="F665" s="5"/>
      <c r="G665" s="5"/>
      <c r="H665" s="5"/>
      <c r="I665" s="5"/>
      <c r="J665" s="5"/>
      <c r="K665" s="5"/>
      <c r="L665" s="5"/>
      <c r="M665" s="5"/>
    </row>
    <row r="666" spans="1:13" x14ac:dyDescent="0.3">
      <c r="B666" s="62" t="s">
        <v>686</v>
      </c>
      <c r="C666" s="21" t="s">
        <v>110</v>
      </c>
      <c r="D666" s="21" t="s">
        <v>111</v>
      </c>
      <c r="E666" s="21" t="s">
        <v>112</v>
      </c>
      <c r="F666" s="5" t="s">
        <v>113</v>
      </c>
      <c r="G666" s="5" t="s">
        <v>114</v>
      </c>
      <c r="H666" s="5" t="s">
        <v>115</v>
      </c>
      <c r="I666" s="5" t="s">
        <v>116</v>
      </c>
      <c r="J666" s="5" t="s">
        <v>117</v>
      </c>
      <c r="K666" s="5" t="s">
        <v>121</v>
      </c>
      <c r="L666" s="5" t="s">
        <v>122</v>
      </c>
      <c r="M666" s="5"/>
    </row>
    <row r="667" spans="1:13" x14ac:dyDescent="0.3">
      <c r="A667" s="19" t="s">
        <v>695</v>
      </c>
      <c r="B667" s="11" t="s">
        <v>677</v>
      </c>
      <c r="C667" s="6" t="s">
        <v>1069</v>
      </c>
      <c r="D667" s="6" t="s">
        <v>1069</v>
      </c>
      <c r="E667" s="6" t="s">
        <v>1069</v>
      </c>
      <c r="F667" s="5"/>
      <c r="G667" s="5"/>
      <c r="H667" s="5"/>
      <c r="I667" s="5"/>
      <c r="J667" s="5"/>
      <c r="K667" s="5"/>
      <c r="L667" s="5"/>
      <c r="M667" s="5"/>
    </row>
    <row r="668" spans="1:13" x14ac:dyDescent="0.3">
      <c r="A668" s="25" t="s">
        <v>1008</v>
      </c>
      <c r="B668" s="11" t="s">
        <v>678</v>
      </c>
      <c r="C668" s="6" t="s">
        <v>1069</v>
      </c>
      <c r="D668" s="6" t="s">
        <v>1069</v>
      </c>
      <c r="E668" s="6" t="s">
        <v>1069</v>
      </c>
      <c r="F668" s="5"/>
      <c r="G668" s="5"/>
      <c r="H668" s="5"/>
      <c r="I668" s="5"/>
      <c r="J668" s="5"/>
      <c r="K668" s="5"/>
      <c r="L668" s="5"/>
      <c r="M668" s="5"/>
    </row>
    <row r="669" spans="1:13" x14ac:dyDescent="0.3">
      <c r="B669" s="11" t="s">
        <v>679</v>
      </c>
      <c r="C669" s="6">
        <v>0</v>
      </c>
      <c r="D669" s="6">
        <v>0</v>
      </c>
      <c r="E669" s="6">
        <v>0</v>
      </c>
      <c r="F669" s="5"/>
      <c r="G669" s="5"/>
      <c r="H669" s="5"/>
      <c r="I669" s="5"/>
      <c r="J669" s="5"/>
      <c r="K669" s="5"/>
      <c r="L669" s="5"/>
      <c r="M669" s="5"/>
    </row>
    <row r="670" spans="1:13" x14ac:dyDescent="0.3">
      <c r="B670" s="11" t="s">
        <v>680</v>
      </c>
      <c r="C670" s="6" t="s">
        <v>511</v>
      </c>
      <c r="D670" s="6" t="s">
        <v>511</v>
      </c>
      <c r="E670" s="6" t="s">
        <v>511</v>
      </c>
      <c r="F670" s="5"/>
      <c r="G670" s="5"/>
      <c r="H670" s="5"/>
      <c r="I670" s="5"/>
      <c r="J670" s="5"/>
      <c r="K670" s="5"/>
      <c r="L670" s="5"/>
      <c r="M670" s="5"/>
    </row>
    <row r="671" spans="1:13" x14ac:dyDescent="0.3">
      <c r="B671" s="11" t="s">
        <v>681</v>
      </c>
      <c r="C671" s="6" t="s">
        <v>511</v>
      </c>
      <c r="D671" s="6" t="s">
        <v>511</v>
      </c>
      <c r="E671" s="6" t="s">
        <v>511</v>
      </c>
      <c r="F671" s="5"/>
      <c r="G671" s="5"/>
      <c r="H671" s="5"/>
      <c r="I671" s="5"/>
      <c r="J671" s="5"/>
      <c r="K671" s="5"/>
      <c r="L671" s="5"/>
      <c r="M671" s="5"/>
    </row>
    <row r="672" spans="1:13" x14ac:dyDescent="0.3">
      <c r="B672" s="11" t="s">
        <v>682</v>
      </c>
      <c r="C672" s="6" t="s">
        <v>511</v>
      </c>
      <c r="D672" s="6" t="s">
        <v>511</v>
      </c>
      <c r="E672" s="6" t="s">
        <v>511</v>
      </c>
      <c r="F672" s="5"/>
      <c r="G672" s="5"/>
      <c r="H672" s="5"/>
      <c r="I672" s="5"/>
      <c r="J672" s="5"/>
      <c r="K672" s="5"/>
      <c r="L672" s="5"/>
      <c r="M672" s="5"/>
    </row>
    <row r="673" spans="1:13" x14ac:dyDescent="0.3">
      <c r="B673" s="11" t="s">
        <v>683</v>
      </c>
      <c r="C673" s="6" t="s">
        <v>511</v>
      </c>
      <c r="D673" s="6" t="s">
        <v>511</v>
      </c>
      <c r="E673" s="6" t="s">
        <v>511</v>
      </c>
      <c r="F673" s="5"/>
      <c r="G673" s="5"/>
      <c r="H673" s="5"/>
      <c r="I673" s="5"/>
      <c r="J673" s="5"/>
      <c r="K673" s="5"/>
      <c r="L673" s="5"/>
      <c r="M673" s="5"/>
    </row>
    <row r="674" spans="1:13" x14ac:dyDescent="0.3">
      <c r="B674" s="11" t="s">
        <v>684</v>
      </c>
      <c r="C674" s="6" t="s">
        <v>511</v>
      </c>
      <c r="D674" s="6" t="s">
        <v>511</v>
      </c>
      <c r="E674" s="6" t="s">
        <v>511</v>
      </c>
      <c r="F674" s="5"/>
      <c r="G674" s="5"/>
      <c r="H674" s="5"/>
      <c r="I674" s="5"/>
      <c r="J674" s="5"/>
      <c r="K674" s="5"/>
      <c r="L674" s="5"/>
      <c r="M674" s="5"/>
    </row>
    <row r="675" spans="1:13" x14ac:dyDescent="0.3">
      <c r="B675" s="11" t="s">
        <v>685</v>
      </c>
      <c r="C675" s="6" t="s">
        <v>511</v>
      </c>
      <c r="D675" s="6" t="s">
        <v>511</v>
      </c>
      <c r="E675" s="6" t="s">
        <v>511</v>
      </c>
      <c r="F675" s="5"/>
      <c r="G675" s="5"/>
      <c r="H675" s="5"/>
      <c r="I675" s="5"/>
      <c r="J675" s="5"/>
      <c r="K675" s="5"/>
      <c r="L675" s="5"/>
      <c r="M675" s="5"/>
    </row>
    <row r="676" spans="1:13" x14ac:dyDescent="0.3">
      <c r="B676" s="11" t="s">
        <v>687</v>
      </c>
      <c r="C676" s="6" t="s">
        <v>511</v>
      </c>
      <c r="D676" s="6" t="s">
        <v>511</v>
      </c>
      <c r="E676" s="6" t="s">
        <v>511</v>
      </c>
      <c r="F676" s="5"/>
      <c r="G676" s="5"/>
      <c r="H676" s="5"/>
      <c r="I676" s="5"/>
      <c r="J676" s="5"/>
      <c r="K676" s="5"/>
      <c r="L676" s="5"/>
      <c r="M676" s="5"/>
    </row>
    <row r="677" spans="1:13" x14ac:dyDescent="0.3">
      <c r="B677" s="11" t="s">
        <v>688</v>
      </c>
      <c r="C677" s="6" t="s">
        <v>511</v>
      </c>
      <c r="D677" s="6" t="s">
        <v>511</v>
      </c>
      <c r="E677" s="6" t="s">
        <v>511</v>
      </c>
      <c r="F677" s="5"/>
      <c r="G677" s="5"/>
      <c r="H677" s="5"/>
      <c r="I677" s="5"/>
      <c r="J677" s="5"/>
      <c r="K677" s="5"/>
      <c r="L677" s="5"/>
      <c r="M677" s="5"/>
    </row>
    <row r="678" spans="1:13" x14ac:dyDescent="0.3">
      <c r="B678" s="11" t="s">
        <v>689</v>
      </c>
      <c r="C678" s="6" t="s">
        <v>511</v>
      </c>
      <c r="D678" s="6" t="s">
        <v>511</v>
      </c>
      <c r="E678" s="6" t="s">
        <v>511</v>
      </c>
      <c r="F678" s="5"/>
      <c r="G678" s="5"/>
      <c r="H678" s="5"/>
      <c r="I678" s="5"/>
      <c r="J678" s="5"/>
      <c r="K678" s="5"/>
      <c r="L678" s="5"/>
      <c r="M678" s="5"/>
    </row>
    <row r="679" spans="1:13" x14ac:dyDescent="0.3">
      <c r="B679" s="11" t="s">
        <v>690</v>
      </c>
      <c r="C679" s="6" t="s">
        <v>511</v>
      </c>
      <c r="D679" s="6" t="s">
        <v>511</v>
      </c>
      <c r="E679" s="6" t="s">
        <v>511</v>
      </c>
      <c r="F679" s="5"/>
      <c r="G679" s="5"/>
      <c r="H679" s="5"/>
      <c r="I679" s="5"/>
      <c r="J679" s="5"/>
      <c r="K679" s="5"/>
      <c r="L679" s="5"/>
      <c r="M679" s="5"/>
    </row>
    <row r="680" spans="1:13" x14ac:dyDescent="0.3">
      <c r="B680" s="11" t="s">
        <v>691</v>
      </c>
      <c r="C680" s="6" t="s">
        <v>511</v>
      </c>
      <c r="D680" s="6" t="s">
        <v>511</v>
      </c>
      <c r="E680" s="6" t="s">
        <v>511</v>
      </c>
      <c r="F680" s="5"/>
      <c r="G680" s="5"/>
      <c r="H680" s="5"/>
      <c r="I680" s="5"/>
      <c r="J680" s="5"/>
      <c r="K680" s="5"/>
      <c r="L680" s="5"/>
      <c r="M680" s="5"/>
    </row>
    <row r="681" spans="1:13" x14ac:dyDescent="0.3">
      <c r="B681" s="11" t="s">
        <v>692</v>
      </c>
      <c r="C681" s="6" t="s">
        <v>511</v>
      </c>
      <c r="D681" s="6" t="s">
        <v>511</v>
      </c>
      <c r="E681" s="6" t="s">
        <v>511</v>
      </c>
      <c r="F681" s="5"/>
      <c r="G681" s="5"/>
      <c r="H681" s="5"/>
      <c r="I681" s="5"/>
      <c r="J681" s="5"/>
      <c r="K681" s="5"/>
      <c r="L681" s="5"/>
      <c r="M681" s="5"/>
    </row>
    <row r="682" spans="1:13" x14ac:dyDescent="0.3">
      <c r="A682" s="32" t="s">
        <v>1009</v>
      </c>
      <c r="B682" s="18"/>
      <c r="C682" s="5" t="s">
        <v>511</v>
      </c>
      <c r="D682" s="5"/>
      <c r="E682" s="5"/>
      <c r="F682" s="5"/>
      <c r="G682" s="5"/>
      <c r="H682" s="5"/>
      <c r="I682" s="5"/>
      <c r="J682" s="5"/>
      <c r="K682" s="5"/>
      <c r="L682" s="5"/>
      <c r="M682" s="5"/>
    </row>
    <row r="683" spans="1:13" x14ac:dyDescent="0.3">
      <c r="B683" s="68" t="s">
        <v>694</v>
      </c>
      <c r="C683" s="21" t="s">
        <v>1192</v>
      </c>
      <c r="D683" s="5" t="s">
        <v>192</v>
      </c>
      <c r="E683" s="5" t="s">
        <v>193</v>
      </c>
      <c r="F683" s="5" t="s">
        <v>194</v>
      </c>
      <c r="G683" s="5" t="s">
        <v>195</v>
      </c>
      <c r="H683" s="5" t="s">
        <v>196</v>
      </c>
      <c r="I683" s="5" t="s">
        <v>1193</v>
      </c>
      <c r="J683" s="5" t="s">
        <v>1194</v>
      </c>
      <c r="K683" s="5"/>
      <c r="L683" s="5"/>
      <c r="M683" s="5"/>
    </row>
    <row r="684" spans="1:13" x14ac:dyDescent="0.3">
      <c r="B684" s="11" t="s">
        <v>200</v>
      </c>
      <c r="C684" s="115">
        <v>1.5</v>
      </c>
      <c r="D684" s="5"/>
      <c r="E684" s="5"/>
      <c r="F684" s="5"/>
      <c r="G684" s="5"/>
      <c r="H684" s="5"/>
      <c r="I684" s="5"/>
      <c r="J684" s="5"/>
      <c r="K684" s="5"/>
      <c r="L684" s="5"/>
      <c r="M684" s="5"/>
    </row>
    <row r="685" spans="1:13" x14ac:dyDescent="0.3">
      <c r="B685" s="11" t="s">
        <v>201</v>
      </c>
      <c r="C685" s="6">
        <v>0.05</v>
      </c>
      <c r="D685" s="5"/>
      <c r="E685" s="5"/>
      <c r="F685" s="5"/>
      <c r="G685" s="5"/>
      <c r="H685" s="5"/>
      <c r="I685" s="5"/>
      <c r="J685" s="5"/>
      <c r="K685" s="5"/>
      <c r="L685" s="5"/>
      <c r="M685" s="5"/>
    </row>
    <row r="686" spans="1:13" x14ac:dyDescent="0.3">
      <c r="B686" s="11" t="s">
        <v>202</v>
      </c>
      <c r="C686" s="6">
        <v>0.02</v>
      </c>
      <c r="D686" s="5"/>
      <c r="E686" s="5"/>
      <c r="F686" s="5"/>
      <c r="G686" s="5"/>
      <c r="H686" s="5"/>
      <c r="I686" s="5"/>
      <c r="J686" s="5"/>
      <c r="K686" s="5"/>
      <c r="L686" s="5"/>
      <c r="M686" s="5"/>
    </row>
    <row r="687" spans="1:13" x14ac:dyDescent="0.3">
      <c r="B687" s="11" t="s">
        <v>203</v>
      </c>
      <c r="C687" s="6">
        <v>0.1</v>
      </c>
      <c r="D687" s="5"/>
      <c r="E687" s="5"/>
      <c r="F687" s="5"/>
      <c r="G687" s="5"/>
      <c r="H687" s="5"/>
      <c r="I687" s="5"/>
      <c r="J687" s="5"/>
      <c r="K687" s="5"/>
      <c r="L687" s="5"/>
      <c r="M687" s="5"/>
    </row>
    <row r="688" spans="1:13" x14ac:dyDescent="0.3">
      <c r="B688" s="11" t="s">
        <v>693</v>
      </c>
      <c r="C688" s="6">
        <v>1.0000000000000001E-5</v>
      </c>
      <c r="D688" s="5"/>
      <c r="E688" s="5"/>
      <c r="F688" s="5"/>
      <c r="G688" s="5"/>
      <c r="H688" s="5"/>
      <c r="I688" s="5"/>
      <c r="J688" s="5"/>
      <c r="K688" s="5"/>
      <c r="L688" s="5"/>
      <c r="M688" s="5"/>
    </row>
    <row r="689" spans="2:13" x14ac:dyDescent="0.3">
      <c r="B689" s="11" t="s">
        <v>502</v>
      </c>
      <c r="C689" s="6">
        <v>2E-3</v>
      </c>
      <c r="D689" s="5"/>
      <c r="E689" s="5"/>
      <c r="F689" s="5"/>
      <c r="G689" s="5"/>
      <c r="H689" s="5"/>
      <c r="I689" s="5"/>
      <c r="J689" s="5"/>
      <c r="K689" s="5"/>
      <c r="L689" s="5"/>
      <c r="M689" s="5"/>
    </row>
    <row r="690" spans="2:13" x14ac:dyDescent="0.3">
      <c r="B690" s="11" t="s">
        <v>503</v>
      </c>
      <c r="C690" s="6">
        <v>2E-3</v>
      </c>
      <c r="D690" s="5"/>
      <c r="E690" s="5"/>
      <c r="F690" s="5"/>
      <c r="G690" s="5"/>
      <c r="H690" s="5"/>
      <c r="I690" s="5"/>
      <c r="J690" s="5"/>
      <c r="K690" s="5"/>
      <c r="L690" s="5"/>
      <c r="M690" s="5"/>
    </row>
    <row r="691" spans="2:13" x14ac:dyDescent="0.3">
      <c r="B691" s="11" t="s">
        <v>504</v>
      </c>
      <c r="C691" s="115">
        <v>0</v>
      </c>
      <c r="D691" s="5"/>
      <c r="E691" s="5"/>
      <c r="F691" s="5"/>
      <c r="G691" s="5"/>
      <c r="H691" s="5"/>
      <c r="I691" s="5"/>
      <c r="J691" s="5"/>
      <c r="K691" s="5"/>
      <c r="L691" s="5"/>
      <c r="M691" s="5"/>
    </row>
    <row r="692" spans="2:13" x14ac:dyDescent="0.3">
      <c r="B692" s="11" t="s">
        <v>204</v>
      </c>
      <c r="C692" s="115">
        <v>150</v>
      </c>
      <c r="D692" s="5"/>
      <c r="E692" s="5"/>
      <c r="F692" s="5"/>
      <c r="G692" s="5"/>
      <c r="H692" s="5"/>
      <c r="I692" s="5"/>
      <c r="J692" s="5"/>
      <c r="K692" s="5"/>
      <c r="L692" s="5"/>
      <c r="M692" s="5"/>
    </row>
    <row r="693" spans="2:13" x14ac:dyDescent="0.3">
      <c r="B693" s="11" t="s">
        <v>697</v>
      </c>
      <c r="C693" s="115">
        <v>15</v>
      </c>
      <c r="D693" s="5"/>
      <c r="E693" s="5"/>
      <c r="F693" s="5"/>
      <c r="G693" s="5"/>
      <c r="H693" s="5"/>
      <c r="I693" s="5"/>
      <c r="J693" s="5"/>
      <c r="K693" s="5"/>
      <c r="L693" s="5"/>
      <c r="M693" s="5"/>
    </row>
    <row r="694" spans="2:13" x14ac:dyDescent="0.3">
      <c r="B694" s="11" t="s">
        <v>698</v>
      </c>
      <c r="C694" s="6">
        <v>2</v>
      </c>
      <c r="D694" s="5"/>
      <c r="E694" s="5"/>
      <c r="F694" s="5"/>
      <c r="G694" s="5"/>
      <c r="H694" s="5"/>
      <c r="I694" s="5"/>
      <c r="J694" s="5"/>
      <c r="K694" s="5"/>
      <c r="L694" s="5"/>
      <c r="M694" s="5"/>
    </row>
    <row r="695" spans="2:13" x14ac:dyDescent="0.3">
      <c r="B695" s="11" t="s">
        <v>699</v>
      </c>
      <c r="C695" s="6">
        <v>1E-3</v>
      </c>
      <c r="D695" s="5"/>
      <c r="E695" s="5"/>
      <c r="F695" s="5"/>
      <c r="G695" s="5"/>
      <c r="H695" s="5"/>
      <c r="I695" s="5"/>
      <c r="J695" s="5"/>
      <c r="K695" s="5"/>
      <c r="L695" s="5"/>
      <c r="M695" s="5"/>
    </row>
    <row r="696" spans="2:13" x14ac:dyDescent="0.3">
      <c r="B696" s="11" t="s">
        <v>700</v>
      </c>
      <c r="C696" s="6">
        <v>1</v>
      </c>
      <c r="D696" s="5"/>
      <c r="E696" s="5"/>
      <c r="F696" s="5"/>
      <c r="G696" s="5"/>
      <c r="H696" s="5"/>
      <c r="I696" s="5"/>
      <c r="J696" s="5"/>
      <c r="K696" s="5"/>
      <c r="L696" s="5"/>
      <c r="M696" s="5"/>
    </row>
    <row r="697" spans="2:13" x14ac:dyDescent="0.3">
      <c r="B697" s="11" t="s">
        <v>705</v>
      </c>
      <c r="C697" s="6">
        <v>3</v>
      </c>
      <c r="D697" s="5"/>
      <c r="E697" s="5"/>
      <c r="F697" s="5"/>
      <c r="G697" s="5"/>
      <c r="H697" s="5"/>
      <c r="I697" s="5"/>
      <c r="J697" s="5"/>
      <c r="K697" s="5"/>
      <c r="L697" s="5"/>
      <c r="M697" s="5"/>
    </row>
    <row r="698" spans="2:13" x14ac:dyDescent="0.3">
      <c r="B698" s="11" t="s">
        <v>706</v>
      </c>
      <c r="C698" s="6">
        <v>20</v>
      </c>
      <c r="D698" s="5"/>
      <c r="E698" s="5"/>
      <c r="F698" s="5"/>
      <c r="G698" s="5"/>
      <c r="H698" s="5"/>
      <c r="I698" s="5"/>
      <c r="J698" s="5"/>
      <c r="K698" s="5"/>
      <c r="L698" s="5"/>
      <c r="M698" s="5"/>
    </row>
    <row r="699" spans="2:13" x14ac:dyDescent="0.3">
      <c r="B699" s="11" t="s">
        <v>707</v>
      </c>
      <c r="C699" s="6">
        <v>30</v>
      </c>
      <c r="D699" s="5"/>
      <c r="E699" s="5"/>
      <c r="F699" s="5"/>
      <c r="G699" s="5"/>
      <c r="H699" s="5"/>
      <c r="I699" s="5"/>
      <c r="J699" s="5"/>
      <c r="K699" s="5"/>
      <c r="L699" s="5"/>
      <c r="M699" s="5"/>
    </row>
    <row r="700" spans="2:13" x14ac:dyDescent="0.3">
      <c r="B700" s="11" t="s">
        <v>701</v>
      </c>
      <c r="C700" s="6">
        <v>0.1</v>
      </c>
      <c r="D700" s="5"/>
      <c r="E700" s="5"/>
      <c r="F700" s="5"/>
      <c r="G700" s="5"/>
      <c r="H700" s="5"/>
      <c r="I700" s="5"/>
      <c r="J700" s="5"/>
      <c r="K700" s="5"/>
      <c r="L700" s="5"/>
      <c r="M700" s="5"/>
    </row>
    <row r="701" spans="2:13" x14ac:dyDescent="0.3">
      <c r="B701" s="11" t="s">
        <v>702</v>
      </c>
      <c r="C701" s="6">
        <v>0.99</v>
      </c>
      <c r="D701" s="5"/>
      <c r="E701" s="5"/>
      <c r="F701" s="5"/>
      <c r="G701" s="5"/>
      <c r="H701" s="5"/>
      <c r="I701" s="5"/>
      <c r="J701" s="5"/>
      <c r="K701" s="5"/>
      <c r="L701" s="5"/>
      <c r="M701" s="5"/>
    </row>
    <row r="702" spans="2:13" x14ac:dyDescent="0.3">
      <c r="B702" s="11" t="s">
        <v>703</v>
      </c>
      <c r="C702" s="6">
        <v>0.99</v>
      </c>
      <c r="D702" s="5"/>
      <c r="E702" s="5"/>
      <c r="F702" s="5"/>
      <c r="G702" s="5"/>
      <c r="H702" s="5"/>
      <c r="I702" s="5"/>
      <c r="J702" s="5"/>
      <c r="K702" s="5"/>
      <c r="L702" s="5"/>
      <c r="M702" s="5"/>
    </row>
    <row r="703" spans="2:13" x14ac:dyDescent="0.3">
      <c r="B703" s="11" t="s">
        <v>704</v>
      </c>
      <c r="C703" s="6">
        <v>0.1</v>
      </c>
      <c r="D703" s="5"/>
      <c r="E703" s="5"/>
      <c r="F703" s="5"/>
      <c r="G703" s="5"/>
      <c r="H703" s="5"/>
      <c r="I703" s="5"/>
      <c r="J703" s="5"/>
      <c r="K703" s="5"/>
      <c r="L703" s="5"/>
      <c r="M703" s="5"/>
    </row>
    <row r="704" spans="2:13" x14ac:dyDescent="0.3">
      <c r="B704" s="11" t="s">
        <v>708</v>
      </c>
      <c r="C704" s="6">
        <v>5.0000000000000001E-3</v>
      </c>
      <c r="D704" s="5"/>
      <c r="E704" s="5"/>
      <c r="F704" s="5"/>
      <c r="G704" s="5"/>
      <c r="H704" s="5"/>
      <c r="I704" s="5"/>
      <c r="J704" s="5"/>
      <c r="K704" s="5"/>
      <c r="L704" s="5"/>
      <c r="M704" s="5"/>
    </row>
    <row r="705" spans="2:13" x14ac:dyDescent="0.3">
      <c r="B705" s="11" t="s">
        <v>709</v>
      </c>
      <c r="C705" s="6">
        <v>0.08</v>
      </c>
      <c r="D705" s="5"/>
      <c r="E705" s="5"/>
      <c r="F705" s="5"/>
      <c r="G705" s="5"/>
      <c r="H705" s="5"/>
      <c r="I705" s="5"/>
      <c r="J705" s="5"/>
      <c r="K705" s="5"/>
      <c r="L705" s="5"/>
      <c r="M705" s="5"/>
    </row>
    <row r="706" spans="2:13" x14ac:dyDescent="0.3">
      <c r="B706" s="11" t="s">
        <v>710</v>
      </c>
      <c r="C706" s="6">
        <v>0.45</v>
      </c>
      <c r="D706" s="5"/>
      <c r="E706" s="5"/>
      <c r="F706" s="5"/>
      <c r="G706" s="5"/>
      <c r="H706" s="5"/>
      <c r="I706" s="5"/>
      <c r="J706" s="5"/>
      <c r="K706" s="5"/>
      <c r="L706" s="5"/>
      <c r="M706" s="5"/>
    </row>
    <row r="707" spans="2:13" x14ac:dyDescent="0.3">
      <c r="B707" s="11" t="s">
        <v>711</v>
      </c>
      <c r="C707" s="6">
        <v>0</v>
      </c>
      <c r="D707" s="5"/>
      <c r="E707" s="5"/>
      <c r="F707" s="5"/>
      <c r="G707" s="5"/>
      <c r="H707" s="5"/>
      <c r="I707" s="5"/>
      <c r="J707" s="5"/>
      <c r="K707" s="5"/>
      <c r="L707" s="5"/>
      <c r="M707" s="5"/>
    </row>
    <row r="708" spans="2:13" x14ac:dyDescent="0.3">
      <c r="B708" s="11" t="s">
        <v>712</v>
      </c>
      <c r="C708" s="6">
        <v>0.05</v>
      </c>
      <c r="D708" s="5"/>
      <c r="E708" s="5"/>
      <c r="F708" s="5"/>
      <c r="G708" s="5"/>
      <c r="H708" s="5"/>
      <c r="I708" s="5"/>
      <c r="J708" s="5"/>
      <c r="K708" s="5"/>
      <c r="L708" s="5"/>
      <c r="M708" s="5"/>
    </row>
    <row r="709" spans="2:13" x14ac:dyDescent="0.3">
      <c r="B709" s="11" t="s">
        <v>713</v>
      </c>
      <c r="C709" s="6">
        <v>0.8</v>
      </c>
      <c r="D709" s="5"/>
      <c r="E709" s="5"/>
      <c r="F709" s="5"/>
      <c r="G709" s="5"/>
      <c r="H709" s="5"/>
      <c r="I709" s="5"/>
      <c r="J709" s="5"/>
      <c r="K709" s="5"/>
      <c r="L709" s="5"/>
      <c r="M709" s="5"/>
    </row>
    <row r="710" spans="2:13" x14ac:dyDescent="0.3">
      <c r="B710" s="11" t="s">
        <v>894</v>
      </c>
      <c r="C710" s="6">
        <v>1.1000000000000001</v>
      </c>
      <c r="D710" s="5"/>
      <c r="E710" s="5"/>
      <c r="F710" s="5"/>
      <c r="G710" s="5"/>
      <c r="H710" s="5"/>
      <c r="I710" s="5"/>
      <c r="J710" s="5"/>
      <c r="K710" s="5"/>
      <c r="L710" s="5"/>
      <c r="M710" s="5"/>
    </row>
    <row r="711" spans="2:13" x14ac:dyDescent="0.3">
      <c r="B711" s="11" t="s">
        <v>1262</v>
      </c>
      <c r="C711" s="6">
        <v>1.4</v>
      </c>
      <c r="D711" s="5"/>
      <c r="E711" s="5"/>
      <c r="F711" s="5"/>
      <c r="G711" s="5"/>
      <c r="H711" s="5"/>
      <c r="I711" s="5"/>
      <c r="J711" s="5"/>
      <c r="K711" s="5"/>
      <c r="L711" s="5"/>
      <c r="M711" s="5"/>
    </row>
    <row r="712" spans="2:13" x14ac:dyDescent="0.3">
      <c r="B712" s="17"/>
      <c r="C712" s="5" t="s">
        <v>511</v>
      </c>
      <c r="D712" s="5"/>
      <c r="E712" s="5"/>
      <c r="F712" s="5"/>
      <c r="G712" s="5"/>
      <c r="H712" s="5"/>
      <c r="I712" s="5"/>
      <c r="J712" s="5"/>
      <c r="K712" s="5"/>
      <c r="L712" s="5"/>
      <c r="M712" s="5"/>
    </row>
    <row r="713" spans="2:13" x14ac:dyDescent="0.3">
      <c r="B713" s="62" t="s">
        <v>714</v>
      </c>
      <c r="C713" s="21" t="s">
        <v>100</v>
      </c>
      <c r="D713" s="5" t="s">
        <v>1051</v>
      </c>
      <c r="E713" s="5" t="s">
        <v>1052</v>
      </c>
      <c r="F713" s="5" t="s">
        <v>1053</v>
      </c>
      <c r="G713" s="5" t="s">
        <v>1054</v>
      </c>
      <c r="H713" s="5" t="s">
        <v>1055</v>
      </c>
      <c r="I713" s="5" t="s">
        <v>1056</v>
      </c>
      <c r="J713" s="5"/>
      <c r="K713" s="5"/>
      <c r="L713" s="5"/>
      <c r="M713" s="5"/>
    </row>
    <row r="714" spans="2:13" x14ac:dyDescent="0.3">
      <c r="B714" s="11" t="s">
        <v>197</v>
      </c>
      <c r="C714" s="6">
        <v>1.5</v>
      </c>
      <c r="D714" s="5"/>
      <c r="E714" s="5"/>
      <c r="F714" s="5"/>
      <c r="G714" s="5"/>
      <c r="H714" s="5"/>
      <c r="I714" s="5"/>
      <c r="J714" s="5"/>
      <c r="K714" s="5"/>
      <c r="L714" s="5"/>
      <c r="M714" s="5"/>
    </row>
    <row r="715" spans="2:13" x14ac:dyDescent="0.3">
      <c r="B715" s="11" t="s">
        <v>198</v>
      </c>
      <c r="C715" s="6">
        <v>0.1</v>
      </c>
      <c r="D715" s="5"/>
      <c r="E715" s="5"/>
      <c r="F715" s="5"/>
      <c r="G715" s="5"/>
      <c r="H715" s="5"/>
      <c r="I715" s="5"/>
      <c r="J715" s="5"/>
      <c r="K715" s="5"/>
      <c r="L715" s="5"/>
      <c r="M715" s="5"/>
    </row>
    <row r="716" spans="2:13" x14ac:dyDescent="0.3">
      <c r="B716" s="11" t="s">
        <v>199</v>
      </c>
      <c r="C716" s="6">
        <v>0.01</v>
      </c>
      <c r="D716" s="5"/>
      <c r="E716" s="5"/>
      <c r="F716" s="5"/>
      <c r="G716" s="5"/>
      <c r="H716" s="5"/>
      <c r="I716" s="5"/>
      <c r="J716" s="5"/>
      <c r="K716" s="5"/>
      <c r="L716" s="5"/>
      <c r="M716" s="5"/>
    </row>
    <row r="717" spans="2:13" x14ac:dyDescent="0.3">
      <c r="B717" s="11" t="s">
        <v>715</v>
      </c>
      <c r="C717" s="6">
        <v>0.5</v>
      </c>
      <c r="D717" s="5"/>
      <c r="E717" s="5"/>
      <c r="F717" s="5"/>
      <c r="G717" s="5"/>
      <c r="H717" s="5"/>
      <c r="I717" s="5"/>
      <c r="J717" s="5"/>
      <c r="K717" s="5"/>
      <c r="L717" s="5"/>
      <c r="M717" s="5"/>
    </row>
    <row r="718" spans="2:13" x14ac:dyDescent="0.3">
      <c r="B718" s="11" t="s">
        <v>716</v>
      </c>
      <c r="C718" s="6">
        <v>0.5</v>
      </c>
      <c r="D718" s="5"/>
      <c r="E718" s="5"/>
      <c r="F718" s="5"/>
      <c r="G718" s="5"/>
      <c r="H718" s="5"/>
      <c r="I718" s="5"/>
      <c r="J718" s="5"/>
      <c r="K718" s="5"/>
      <c r="L718" s="5"/>
      <c r="M718" s="5"/>
    </row>
    <row r="719" spans="2:13" x14ac:dyDescent="0.3">
      <c r="B719" s="11" t="s">
        <v>717</v>
      </c>
      <c r="C719" s="6">
        <v>0.01</v>
      </c>
      <c r="D719" s="5"/>
      <c r="E719" s="5"/>
      <c r="F719" s="5"/>
      <c r="G719" s="5"/>
      <c r="H719" s="5"/>
      <c r="I719" s="5"/>
      <c r="J719" s="5"/>
      <c r="K719" s="5"/>
      <c r="L719" s="5"/>
      <c r="M719" s="5"/>
    </row>
    <row r="720" spans="2:13" x14ac:dyDescent="0.3">
      <c r="B720" s="11" t="s">
        <v>718</v>
      </c>
      <c r="C720" s="6">
        <v>0.3</v>
      </c>
      <c r="D720" s="5"/>
      <c r="E720" s="5"/>
      <c r="F720" s="5"/>
      <c r="G720" s="5"/>
      <c r="H720" s="5"/>
      <c r="I720" s="5"/>
      <c r="J720" s="5"/>
      <c r="K720" s="5"/>
      <c r="L720" s="5"/>
      <c r="M720" s="5"/>
    </row>
    <row r="721" spans="1:13" x14ac:dyDescent="0.3">
      <c r="A721" s="25" t="s">
        <v>1654</v>
      </c>
      <c r="B721" s="11" t="s">
        <v>1653</v>
      </c>
      <c r="C721" s="6">
        <v>0</v>
      </c>
      <c r="D721" s="5"/>
      <c r="E721" s="5"/>
      <c r="F721" s="5"/>
      <c r="G721" s="5"/>
      <c r="H721" s="5"/>
      <c r="I721" s="5"/>
      <c r="J721" s="5"/>
      <c r="K721" s="5"/>
      <c r="L721" s="5"/>
      <c r="M721" s="5"/>
    </row>
    <row r="722" spans="1:13" x14ac:dyDescent="0.3">
      <c r="B722" s="11" t="s">
        <v>724</v>
      </c>
      <c r="C722" s="6">
        <v>0</v>
      </c>
      <c r="D722" s="5"/>
      <c r="E722" s="5"/>
      <c r="F722" s="5"/>
      <c r="G722" s="5"/>
      <c r="H722" s="5"/>
      <c r="I722" s="5"/>
      <c r="J722" s="5"/>
      <c r="K722" s="5"/>
      <c r="L722" s="5"/>
      <c r="M722" s="5"/>
    </row>
    <row r="723" spans="1:13" x14ac:dyDescent="0.3">
      <c r="B723" s="11" t="s">
        <v>725</v>
      </c>
      <c r="C723" s="6">
        <v>15</v>
      </c>
      <c r="D723" s="5"/>
      <c r="E723" s="5"/>
      <c r="F723" s="5"/>
      <c r="G723" s="5"/>
      <c r="H723" s="5"/>
      <c r="I723" s="5"/>
      <c r="J723" s="5"/>
      <c r="K723" s="5"/>
      <c r="L723" s="5"/>
      <c r="M723" s="5"/>
    </row>
    <row r="724" spans="1:13" x14ac:dyDescent="0.3">
      <c r="B724" s="11" t="s">
        <v>726</v>
      </c>
      <c r="C724" s="6">
        <v>20</v>
      </c>
      <c r="D724" s="5"/>
      <c r="E724" s="5"/>
      <c r="F724" s="5"/>
      <c r="G724" s="5"/>
      <c r="H724" s="5"/>
      <c r="I724" s="5"/>
      <c r="J724" s="5"/>
      <c r="K724" s="5"/>
      <c r="L724" s="5"/>
      <c r="M724" s="5"/>
    </row>
    <row r="725" spans="1:13" x14ac:dyDescent="0.3">
      <c r="B725" s="11" t="s">
        <v>723</v>
      </c>
      <c r="C725" s="6">
        <v>36</v>
      </c>
      <c r="D725" s="5"/>
      <c r="E725" s="5"/>
      <c r="F725" s="5"/>
      <c r="G725" s="5"/>
      <c r="H725" s="5"/>
      <c r="I725" s="5"/>
      <c r="J725" s="5"/>
      <c r="K725" s="5"/>
      <c r="L725" s="5"/>
      <c r="M725" s="5"/>
    </row>
    <row r="726" spans="1:13" x14ac:dyDescent="0.3">
      <c r="B726" s="11" t="s">
        <v>722</v>
      </c>
      <c r="C726" s="6">
        <v>0.1</v>
      </c>
      <c r="D726" s="5"/>
      <c r="E726" s="5"/>
      <c r="F726" s="5"/>
      <c r="G726" s="5"/>
      <c r="H726" s="5"/>
      <c r="I726" s="5"/>
      <c r="J726" s="5"/>
      <c r="K726" s="5"/>
      <c r="L726" s="5"/>
      <c r="M726" s="5"/>
    </row>
    <row r="727" spans="1:13" x14ac:dyDescent="0.3">
      <c r="B727" s="11" t="s">
        <v>720</v>
      </c>
      <c r="C727" s="6">
        <v>0.9</v>
      </c>
      <c r="D727" s="5"/>
      <c r="E727" s="5"/>
      <c r="F727" s="5"/>
      <c r="G727" s="5"/>
      <c r="H727" s="5"/>
      <c r="I727" s="5"/>
      <c r="J727" s="5"/>
      <c r="K727" s="5"/>
      <c r="L727" s="5"/>
      <c r="M727" s="5"/>
    </row>
    <row r="728" spans="1:13" x14ac:dyDescent="0.3">
      <c r="B728" s="11" t="s">
        <v>719</v>
      </c>
      <c r="C728" s="6">
        <v>0.98</v>
      </c>
      <c r="D728" s="5"/>
      <c r="E728" s="5"/>
      <c r="F728" s="5"/>
      <c r="G728" s="5"/>
      <c r="H728" s="5"/>
      <c r="I728" s="5"/>
      <c r="J728" s="5"/>
      <c r="K728" s="5"/>
      <c r="L728" s="5"/>
      <c r="M728" s="5"/>
    </row>
    <row r="729" spans="1:13" x14ac:dyDescent="0.3">
      <c r="B729" s="11" t="s">
        <v>721</v>
      </c>
      <c r="C729" s="6">
        <v>0.1</v>
      </c>
      <c r="D729" s="5"/>
      <c r="E729" s="5"/>
      <c r="F729" s="5"/>
      <c r="G729" s="5"/>
      <c r="H729" s="5"/>
      <c r="I729" s="5"/>
      <c r="J729" s="5"/>
      <c r="K729" s="5"/>
      <c r="L729" s="5"/>
      <c r="M729" s="5"/>
    </row>
    <row r="730" spans="1:13" x14ac:dyDescent="0.3">
      <c r="B730" s="11" t="s">
        <v>755</v>
      </c>
      <c r="C730" s="6">
        <v>1.4999999999999999E-2</v>
      </c>
      <c r="D730" s="5"/>
      <c r="E730" s="5"/>
      <c r="F730" s="5"/>
      <c r="G730" s="5"/>
      <c r="H730" s="5"/>
      <c r="I730" s="5"/>
      <c r="J730" s="5"/>
      <c r="K730" s="5"/>
      <c r="L730" s="5"/>
      <c r="M730" s="5"/>
    </row>
    <row r="731" spans="1:13" x14ac:dyDescent="0.3">
      <c r="B731" s="11" t="s">
        <v>756</v>
      </c>
      <c r="C731" s="6">
        <v>0.08</v>
      </c>
      <c r="D731" s="5"/>
      <c r="E731" s="5"/>
      <c r="F731" s="5"/>
      <c r="G731" s="5"/>
      <c r="H731" s="5"/>
      <c r="I731" s="5"/>
      <c r="J731" s="5"/>
      <c r="K731" s="5"/>
      <c r="L731" s="5"/>
      <c r="M731" s="5"/>
    </row>
    <row r="732" spans="1:13" x14ac:dyDescent="0.3">
      <c r="B732" s="11" t="s">
        <v>757</v>
      </c>
      <c r="C732" s="6">
        <v>0.45</v>
      </c>
      <c r="D732" s="5"/>
      <c r="E732" s="5"/>
      <c r="F732" s="5"/>
      <c r="G732" s="5"/>
      <c r="H732" s="5"/>
      <c r="I732" s="5"/>
      <c r="J732" s="5"/>
      <c r="K732" s="5"/>
      <c r="L732" s="5"/>
      <c r="M732" s="5"/>
    </row>
    <row r="733" spans="1:13" x14ac:dyDescent="0.3">
      <c r="B733" s="11" t="s">
        <v>893</v>
      </c>
      <c r="C733" s="6">
        <v>1.1000000000000001</v>
      </c>
      <c r="D733" s="5"/>
      <c r="E733" s="5"/>
      <c r="F733" s="5"/>
      <c r="G733" s="5"/>
      <c r="H733" s="5"/>
      <c r="I733" s="5"/>
      <c r="J733" s="5"/>
      <c r="K733" s="5"/>
      <c r="L733" s="5"/>
      <c r="M733" s="5"/>
    </row>
    <row r="734" spans="1:13" x14ac:dyDescent="0.3">
      <c r="B734" s="11" t="s">
        <v>768</v>
      </c>
      <c r="C734" s="6">
        <v>1</v>
      </c>
      <c r="D734" s="5"/>
      <c r="E734" s="5"/>
      <c r="F734" s="5"/>
      <c r="G734" s="5"/>
      <c r="H734" s="5"/>
      <c r="I734" s="5"/>
      <c r="J734" s="5"/>
      <c r="K734" s="5"/>
      <c r="L734" s="5"/>
      <c r="M734" s="5"/>
    </row>
    <row r="735" spans="1:13" x14ac:dyDescent="0.3">
      <c r="A735" t="s">
        <v>1263</v>
      </c>
      <c r="B735" s="11" t="s">
        <v>769</v>
      </c>
      <c r="C735" s="6" t="s">
        <v>511</v>
      </c>
      <c r="D735" s="5"/>
      <c r="E735" s="5"/>
      <c r="F735" s="5"/>
      <c r="G735" s="5"/>
      <c r="H735" s="5"/>
      <c r="I735" s="5"/>
      <c r="J735" s="5"/>
      <c r="K735" s="5"/>
      <c r="L735" s="5"/>
      <c r="M735" s="5"/>
    </row>
    <row r="736" spans="1:13" x14ac:dyDescent="0.3">
      <c r="A736" t="s">
        <v>284</v>
      </c>
      <c r="B736" s="11" t="s">
        <v>770</v>
      </c>
      <c r="C736" s="6" t="s">
        <v>511</v>
      </c>
      <c r="D736" s="5"/>
      <c r="E736" s="5"/>
      <c r="F736" s="5"/>
      <c r="G736" s="5"/>
      <c r="H736" s="5"/>
      <c r="I736" s="5"/>
      <c r="J736" s="5"/>
      <c r="K736" s="5"/>
      <c r="L736" s="5"/>
      <c r="M736" s="5"/>
    </row>
    <row r="737" spans="1:13" x14ac:dyDescent="0.3">
      <c r="B737" s="11" t="s">
        <v>761</v>
      </c>
      <c r="C737" s="6" t="s">
        <v>511</v>
      </c>
      <c r="D737" s="5"/>
      <c r="E737" s="5"/>
      <c r="F737" s="5"/>
      <c r="G737" s="5"/>
      <c r="H737" s="5"/>
      <c r="I737" s="5"/>
      <c r="J737" s="5"/>
      <c r="K737" s="5"/>
      <c r="L737" s="5"/>
      <c r="M737" s="5"/>
    </row>
    <row r="738" spans="1:13" x14ac:dyDescent="0.3">
      <c r="B738" s="11" t="s">
        <v>762</v>
      </c>
      <c r="C738" s="6" t="s">
        <v>511</v>
      </c>
      <c r="D738" s="5"/>
      <c r="E738" s="5"/>
      <c r="F738" s="5"/>
      <c r="G738" s="5"/>
      <c r="H738" s="5"/>
      <c r="I738" s="5"/>
      <c r="J738" s="5"/>
      <c r="K738" s="5"/>
      <c r="L738" s="5"/>
      <c r="M738" s="5"/>
    </row>
    <row r="739" spans="1:13" x14ac:dyDescent="0.3">
      <c r="A739" s="32" t="s">
        <v>1059</v>
      </c>
      <c r="B739" s="11" t="s">
        <v>763</v>
      </c>
      <c r="C739" s="6">
        <v>0</v>
      </c>
      <c r="D739" s="5"/>
      <c r="E739" s="5"/>
      <c r="F739" s="5"/>
      <c r="G739" s="5"/>
      <c r="H739" s="5"/>
      <c r="I739" s="5"/>
      <c r="J739" s="5"/>
      <c r="K739" s="5"/>
      <c r="L739" s="5"/>
      <c r="M739" s="5"/>
    </row>
    <row r="740" spans="1:13" x14ac:dyDescent="0.3">
      <c r="B740" s="11" t="s">
        <v>764</v>
      </c>
      <c r="C740" s="6" t="s">
        <v>511</v>
      </c>
      <c r="D740" s="5"/>
      <c r="E740" s="5"/>
      <c r="F740" s="5"/>
      <c r="G740" s="5"/>
      <c r="H740" s="5"/>
      <c r="I740" s="5"/>
      <c r="J740" s="5"/>
      <c r="K740" s="5"/>
      <c r="L740" s="5"/>
      <c r="M740" s="5"/>
    </row>
    <row r="741" spans="1:13" x14ac:dyDescent="0.3">
      <c r="B741" s="11" t="s">
        <v>765</v>
      </c>
      <c r="C741" s="6" t="s">
        <v>511</v>
      </c>
      <c r="D741" s="5"/>
      <c r="E741" s="5"/>
      <c r="F741" s="5"/>
      <c r="G741" s="5"/>
      <c r="H741" s="5"/>
      <c r="I741" s="5"/>
      <c r="J741" s="5"/>
      <c r="K741" s="5"/>
      <c r="L741" s="5"/>
      <c r="M741" s="5"/>
    </row>
    <row r="742" spans="1:13" x14ac:dyDescent="0.3">
      <c r="B742" s="11" t="s">
        <v>766</v>
      </c>
      <c r="C742" s="6" t="s">
        <v>511</v>
      </c>
      <c r="D742" s="5"/>
      <c r="E742" s="5"/>
      <c r="F742" s="5"/>
      <c r="G742" s="5"/>
      <c r="H742" s="5"/>
      <c r="I742" s="5"/>
      <c r="J742" s="5"/>
      <c r="K742" s="5"/>
      <c r="L742" s="5"/>
      <c r="M742" s="5"/>
    </row>
    <row r="743" spans="1:13" x14ac:dyDescent="0.3">
      <c r="B743" s="11" t="s">
        <v>767</v>
      </c>
      <c r="C743" s="6" t="s">
        <v>511</v>
      </c>
      <c r="D743" s="5"/>
      <c r="E743" s="5"/>
      <c r="F743" s="5"/>
      <c r="G743" s="5"/>
      <c r="H743" s="5"/>
      <c r="I743" s="5"/>
      <c r="J743" s="5"/>
      <c r="K743" s="5"/>
      <c r="L743" s="5"/>
      <c r="M743" s="5"/>
    </row>
    <row r="744" spans="1:13" x14ac:dyDescent="0.3">
      <c r="A744" s="32" t="s">
        <v>1058</v>
      </c>
      <c r="B744" s="17"/>
      <c r="C744" s="5" t="s">
        <v>511</v>
      </c>
      <c r="D744" s="5"/>
      <c r="E744" s="5"/>
      <c r="F744" s="5"/>
      <c r="G744" s="5"/>
      <c r="H744" s="5"/>
      <c r="I744" s="5"/>
      <c r="J744" s="5"/>
      <c r="K744" s="5"/>
      <c r="L744" s="5"/>
      <c r="M744" s="5"/>
    </row>
    <row r="745" spans="1:13" x14ac:dyDescent="0.3">
      <c r="B745" s="62" t="s">
        <v>785</v>
      </c>
      <c r="C745" s="21" t="s">
        <v>110</v>
      </c>
      <c r="D745" s="21" t="s">
        <v>111</v>
      </c>
      <c r="E745" s="21" t="s">
        <v>112</v>
      </c>
      <c r="F745" s="5" t="s">
        <v>113</v>
      </c>
      <c r="G745" s="5" t="s">
        <v>114</v>
      </c>
      <c r="H745" s="5" t="s">
        <v>115</v>
      </c>
      <c r="I745" s="5" t="s">
        <v>116</v>
      </c>
      <c r="J745" s="5" t="s">
        <v>117</v>
      </c>
      <c r="K745" s="5" t="s">
        <v>121</v>
      </c>
      <c r="L745" s="5" t="s">
        <v>122</v>
      </c>
      <c r="M745" s="5"/>
    </row>
    <row r="746" spans="1:13" x14ac:dyDescent="0.3">
      <c r="A746" t="s">
        <v>236</v>
      </c>
      <c r="B746" s="11" t="s">
        <v>771</v>
      </c>
      <c r="C746" s="6" t="s">
        <v>17</v>
      </c>
      <c r="D746" s="6" t="s">
        <v>17</v>
      </c>
      <c r="E746" s="6" t="s">
        <v>17</v>
      </c>
      <c r="F746" s="5"/>
      <c r="G746" s="5"/>
      <c r="H746" s="5"/>
      <c r="I746" s="5"/>
      <c r="J746" s="5"/>
      <c r="K746" s="5"/>
      <c r="L746" s="5"/>
      <c r="M746" s="5"/>
    </row>
    <row r="747" spans="1:13" x14ac:dyDescent="0.3">
      <c r="A747" t="s">
        <v>284</v>
      </c>
      <c r="B747" s="11" t="s">
        <v>772</v>
      </c>
      <c r="C747" s="6" t="s">
        <v>511</v>
      </c>
      <c r="D747" s="6" t="s">
        <v>511</v>
      </c>
      <c r="E747" s="6" t="s">
        <v>511</v>
      </c>
      <c r="F747" s="5"/>
      <c r="G747" s="5"/>
      <c r="H747" s="5"/>
      <c r="I747" s="5"/>
      <c r="J747" s="5"/>
      <c r="K747" s="5"/>
      <c r="L747" s="5"/>
      <c r="M747" s="5"/>
    </row>
    <row r="748" spans="1:13" x14ac:dyDescent="0.3">
      <c r="B748" s="11" t="s">
        <v>773</v>
      </c>
      <c r="C748" s="6" t="s">
        <v>511</v>
      </c>
      <c r="D748" s="6" t="s">
        <v>511</v>
      </c>
      <c r="E748" s="6" t="s">
        <v>511</v>
      </c>
      <c r="F748" s="5"/>
      <c r="G748" s="5"/>
      <c r="H748" s="5"/>
      <c r="I748" s="5"/>
      <c r="J748" s="5"/>
      <c r="K748" s="5"/>
      <c r="L748" s="5"/>
      <c r="M748" s="5"/>
    </row>
    <row r="749" spans="1:13" x14ac:dyDescent="0.3">
      <c r="B749" s="11" t="s">
        <v>774</v>
      </c>
      <c r="C749" s="6" t="s">
        <v>511</v>
      </c>
      <c r="D749" s="6" t="s">
        <v>511</v>
      </c>
      <c r="E749" s="6" t="s">
        <v>511</v>
      </c>
      <c r="F749" s="5"/>
      <c r="G749" s="5"/>
      <c r="H749" s="5"/>
      <c r="I749" s="5"/>
      <c r="J749" s="5"/>
      <c r="K749" s="5"/>
      <c r="L749" s="5"/>
      <c r="M749" s="5"/>
    </row>
    <row r="750" spans="1:13" x14ac:dyDescent="0.3">
      <c r="B750" s="11" t="s">
        <v>775</v>
      </c>
      <c r="C750" s="6" t="s">
        <v>511</v>
      </c>
      <c r="D750" s="6" t="s">
        <v>511</v>
      </c>
      <c r="E750" s="6" t="s">
        <v>511</v>
      </c>
      <c r="F750" s="5"/>
      <c r="G750" s="5"/>
      <c r="H750" s="5"/>
      <c r="I750" s="5"/>
      <c r="J750" s="5"/>
      <c r="K750" s="5"/>
      <c r="L750" s="5"/>
      <c r="M750" s="5"/>
    </row>
    <row r="751" spans="1:13" x14ac:dyDescent="0.3">
      <c r="A751" s="32" t="s">
        <v>1057</v>
      </c>
      <c r="B751" s="11" t="s">
        <v>776</v>
      </c>
      <c r="C751" s="6" t="s">
        <v>17</v>
      </c>
      <c r="D751" s="6" t="s">
        <v>17</v>
      </c>
      <c r="E751" s="6" t="s">
        <v>17</v>
      </c>
      <c r="F751" s="5"/>
      <c r="G751" s="5"/>
      <c r="H751" s="5"/>
      <c r="I751" s="5"/>
      <c r="J751" s="5"/>
      <c r="K751" s="5"/>
      <c r="L751" s="5"/>
      <c r="M751" s="5"/>
    </row>
    <row r="752" spans="1:13" x14ac:dyDescent="0.3">
      <c r="B752" s="11" t="s">
        <v>777</v>
      </c>
      <c r="C752" s="6" t="s">
        <v>511</v>
      </c>
      <c r="D752" s="6" t="s">
        <v>511</v>
      </c>
      <c r="E752" s="6" t="s">
        <v>511</v>
      </c>
      <c r="F752" s="5"/>
      <c r="G752" s="5"/>
      <c r="H752" s="5"/>
      <c r="I752" s="5"/>
      <c r="J752" s="5"/>
      <c r="K752" s="5"/>
      <c r="L752" s="5"/>
      <c r="M752" s="5"/>
    </row>
    <row r="753" spans="1:13" x14ac:dyDescent="0.3">
      <c r="B753" s="11" t="s">
        <v>778</v>
      </c>
      <c r="C753" s="6" t="s">
        <v>511</v>
      </c>
      <c r="D753" s="6" t="s">
        <v>511</v>
      </c>
      <c r="E753" s="6" t="s">
        <v>511</v>
      </c>
      <c r="F753" s="5"/>
      <c r="G753" s="5"/>
      <c r="H753" s="5"/>
      <c r="I753" s="5"/>
      <c r="J753" s="5"/>
      <c r="K753" s="5"/>
      <c r="L753" s="5"/>
      <c r="M753" s="5"/>
    </row>
    <row r="754" spans="1:13" x14ac:dyDescent="0.3">
      <c r="B754" s="11" t="s">
        <v>779</v>
      </c>
      <c r="C754" s="6" t="s">
        <v>511</v>
      </c>
      <c r="D754" s="6" t="s">
        <v>511</v>
      </c>
      <c r="E754" s="6" t="s">
        <v>511</v>
      </c>
      <c r="F754" s="5"/>
      <c r="G754" s="5"/>
      <c r="H754" s="5"/>
      <c r="I754" s="5"/>
      <c r="J754" s="5"/>
      <c r="K754" s="5"/>
      <c r="L754" s="5"/>
      <c r="M754" s="5"/>
    </row>
    <row r="755" spans="1:13" x14ac:dyDescent="0.3">
      <c r="B755" s="11" t="s">
        <v>780</v>
      </c>
      <c r="C755" s="6" t="s">
        <v>511</v>
      </c>
      <c r="D755" s="6" t="s">
        <v>511</v>
      </c>
      <c r="E755" s="6" t="s">
        <v>511</v>
      </c>
      <c r="F755" s="5"/>
      <c r="G755" s="5"/>
      <c r="H755" s="5"/>
      <c r="I755" s="5"/>
      <c r="J755" s="5"/>
      <c r="K755" s="5"/>
      <c r="L755" s="5"/>
      <c r="M755" s="5"/>
    </row>
    <row r="756" spans="1:13" x14ac:dyDescent="0.3">
      <c r="A756" s="32" t="s">
        <v>1057</v>
      </c>
      <c r="B756" s="11" t="s">
        <v>727</v>
      </c>
      <c r="C756" s="6">
        <v>0</v>
      </c>
      <c r="D756" s="6">
        <v>0</v>
      </c>
      <c r="E756" s="6">
        <v>0</v>
      </c>
      <c r="F756" s="5"/>
      <c r="G756" s="5"/>
      <c r="H756" s="5"/>
      <c r="I756" s="5"/>
      <c r="J756" s="5"/>
      <c r="K756" s="5"/>
      <c r="L756" s="5"/>
      <c r="M756" s="5"/>
    </row>
    <row r="757" spans="1:13" x14ac:dyDescent="0.3">
      <c r="B757" s="11" t="s">
        <v>728</v>
      </c>
      <c r="C757" s="6" t="s">
        <v>511</v>
      </c>
      <c r="D757" s="6" t="s">
        <v>511</v>
      </c>
      <c r="E757" s="6" t="s">
        <v>511</v>
      </c>
      <c r="F757" s="5"/>
      <c r="G757" s="5"/>
      <c r="H757" s="5"/>
      <c r="I757" s="5"/>
      <c r="J757" s="5"/>
      <c r="K757" s="5"/>
      <c r="L757" s="5"/>
      <c r="M757" s="5"/>
    </row>
    <row r="758" spans="1:13" x14ac:dyDescent="0.3">
      <c r="B758" s="11" t="s">
        <v>729</v>
      </c>
      <c r="C758" s="6" t="s">
        <v>511</v>
      </c>
      <c r="D758" s="6" t="s">
        <v>511</v>
      </c>
      <c r="E758" s="6" t="s">
        <v>511</v>
      </c>
      <c r="F758" s="5"/>
      <c r="G758" s="5"/>
      <c r="H758" s="5"/>
      <c r="I758" s="5"/>
      <c r="J758" s="5"/>
      <c r="K758" s="5"/>
      <c r="L758" s="5"/>
      <c r="M758" s="5"/>
    </row>
    <row r="759" spans="1:13" x14ac:dyDescent="0.3">
      <c r="B759" s="11" t="s">
        <v>730</v>
      </c>
      <c r="C759" s="6" t="s">
        <v>511</v>
      </c>
      <c r="D759" s="6" t="s">
        <v>511</v>
      </c>
      <c r="E759" s="6" t="s">
        <v>511</v>
      </c>
      <c r="F759" s="5"/>
      <c r="G759" s="5"/>
      <c r="H759" s="5"/>
      <c r="I759" s="5"/>
      <c r="J759" s="5"/>
      <c r="K759" s="5"/>
      <c r="L759" s="5"/>
      <c r="M759" s="5"/>
    </row>
    <row r="760" spans="1:13" x14ac:dyDescent="0.3">
      <c r="B760" s="11" t="s">
        <v>731</v>
      </c>
      <c r="C760" s="6" t="s">
        <v>511</v>
      </c>
      <c r="D760" s="6" t="s">
        <v>511</v>
      </c>
      <c r="E760" s="6" t="s">
        <v>511</v>
      </c>
      <c r="F760" s="5"/>
      <c r="G760" s="5"/>
      <c r="H760" s="5"/>
      <c r="I760" s="5"/>
      <c r="J760" s="5"/>
      <c r="K760" s="5"/>
      <c r="L760" s="5"/>
      <c r="M760" s="5"/>
    </row>
    <row r="761" spans="1:13" x14ac:dyDescent="0.3">
      <c r="A761" s="32" t="s">
        <v>1057</v>
      </c>
      <c r="B761" s="17"/>
      <c r="C761" s="5" t="s">
        <v>511</v>
      </c>
      <c r="D761" s="5"/>
      <c r="E761" s="5"/>
      <c r="F761" s="5"/>
      <c r="G761" s="5"/>
      <c r="H761" s="5"/>
      <c r="I761" s="5"/>
      <c r="J761" s="5"/>
      <c r="K761" s="5"/>
      <c r="L761" s="5"/>
      <c r="M761" s="5"/>
    </row>
    <row r="762" spans="1:13" x14ac:dyDescent="0.3">
      <c r="B762" s="62" t="s">
        <v>101</v>
      </c>
      <c r="C762" s="21" t="s">
        <v>228</v>
      </c>
      <c r="D762" s="5" t="s">
        <v>229</v>
      </c>
      <c r="E762" s="5" t="s">
        <v>230</v>
      </c>
      <c r="F762" s="5" t="s">
        <v>231</v>
      </c>
      <c r="G762" s="5" t="s">
        <v>232</v>
      </c>
      <c r="H762" s="5" t="s">
        <v>1195</v>
      </c>
      <c r="I762" s="5" t="s">
        <v>1196</v>
      </c>
      <c r="J762" s="5" t="s">
        <v>1197</v>
      </c>
      <c r="K762" s="5"/>
      <c r="L762" s="5"/>
      <c r="M762" s="5"/>
    </row>
    <row r="763" spans="1:13" x14ac:dyDescent="0.3">
      <c r="B763" s="11" t="s">
        <v>732</v>
      </c>
      <c r="C763" s="6">
        <v>0.3</v>
      </c>
      <c r="D763" s="5"/>
      <c r="E763" s="5"/>
      <c r="F763" s="5"/>
      <c r="G763" s="5"/>
      <c r="H763" s="5"/>
      <c r="I763" s="5"/>
      <c r="J763" s="5"/>
      <c r="K763" s="5"/>
      <c r="L763" s="5"/>
      <c r="M763" s="5"/>
    </row>
    <row r="764" spans="1:13" x14ac:dyDescent="0.3">
      <c r="B764" s="11" t="s">
        <v>733</v>
      </c>
      <c r="C764" s="6">
        <v>0.05</v>
      </c>
      <c r="D764" s="5"/>
      <c r="E764" s="5"/>
      <c r="F764" s="5"/>
      <c r="G764" s="5"/>
      <c r="H764" s="5"/>
      <c r="I764" s="5"/>
      <c r="J764" s="5"/>
      <c r="K764" s="5"/>
      <c r="L764" s="5"/>
      <c r="M764" s="5"/>
    </row>
    <row r="765" spans="1:13" x14ac:dyDescent="0.3">
      <c r="B765" s="11" t="s">
        <v>734</v>
      </c>
      <c r="C765" s="6">
        <v>0.05</v>
      </c>
      <c r="D765" s="5"/>
      <c r="E765" s="5"/>
      <c r="F765" s="5"/>
      <c r="G765" s="5"/>
      <c r="H765" s="5"/>
      <c r="I765" s="5"/>
      <c r="J765" s="5"/>
      <c r="K765" s="5"/>
      <c r="L765" s="5"/>
      <c r="M765" s="5"/>
    </row>
    <row r="766" spans="1:13" x14ac:dyDescent="0.3">
      <c r="B766" s="11" t="s">
        <v>735</v>
      </c>
      <c r="C766" s="6">
        <v>30</v>
      </c>
      <c r="D766" s="5"/>
      <c r="E766" s="5"/>
      <c r="F766" s="5"/>
      <c r="G766" s="5"/>
      <c r="H766" s="5"/>
      <c r="I766" s="5"/>
      <c r="J766" s="5"/>
      <c r="K766" s="5"/>
      <c r="L766" s="5"/>
      <c r="M766" s="5"/>
    </row>
    <row r="767" spans="1:13" x14ac:dyDescent="0.3">
      <c r="B767" s="11" t="s">
        <v>736</v>
      </c>
      <c r="C767" s="6">
        <v>0</v>
      </c>
      <c r="D767" s="5"/>
      <c r="E767" s="5"/>
      <c r="F767" s="5"/>
      <c r="G767" s="5"/>
      <c r="H767" s="5"/>
      <c r="I767" s="5"/>
      <c r="J767" s="5"/>
      <c r="K767" s="5"/>
      <c r="L767" s="5"/>
      <c r="M767" s="5"/>
    </row>
    <row r="768" spans="1:13" x14ac:dyDescent="0.3">
      <c r="B768" s="11" t="s">
        <v>737</v>
      </c>
      <c r="C768" s="6">
        <v>0</v>
      </c>
      <c r="D768" s="5"/>
      <c r="E768" s="5"/>
      <c r="F768" s="5"/>
      <c r="G768" s="5"/>
      <c r="H768" s="5"/>
      <c r="I768" s="5"/>
      <c r="J768" s="5"/>
      <c r="K768" s="5"/>
      <c r="L768" s="5"/>
      <c r="M768" s="5"/>
    </row>
    <row r="769" spans="2:13" x14ac:dyDescent="0.3">
      <c r="B769" s="11" t="s">
        <v>738</v>
      </c>
      <c r="C769" s="6">
        <v>0</v>
      </c>
      <c r="D769" s="5"/>
      <c r="E769" s="5"/>
      <c r="F769" s="5"/>
      <c r="G769" s="5"/>
      <c r="H769" s="5"/>
      <c r="I769" s="5"/>
      <c r="J769" s="5"/>
      <c r="K769" s="5"/>
      <c r="L769" s="5"/>
      <c r="M769" s="5"/>
    </row>
    <row r="770" spans="2:13" x14ac:dyDescent="0.3">
      <c r="B770" s="11" t="s">
        <v>739</v>
      </c>
      <c r="C770" s="6">
        <v>0.9</v>
      </c>
      <c r="D770" s="5"/>
      <c r="E770" s="5"/>
      <c r="F770" s="5"/>
      <c r="G770" s="5"/>
      <c r="H770" s="5"/>
      <c r="I770" s="5"/>
      <c r="J770" s="5"/>
      <c r="K770" s="5"/>
      <c r="L770" s="5"/>
      <c r="M770" s="5"/>
    </row>
    <row r="771" spans="2:13" x14ac:dyDescent="0.3">
      <c r="B771" s="11" t="s">
        <v>740</v>
      </c>
      <c r="C771" s="6">
        <v>0.2</v>
      </c>
      <c r="D771" s="5"/>
      <c r="E771" s="5"/>
      <c r="F771" s="5"/>
      <c r="G771" s="5"/>
      <c r="H771" s="5"/>
      <c r="I771" s="5"/>
      <c r="J771" s="5"/>
      <c r="K771" s="5"/>
      <c r="L771" s="5"/>
      <c r="M771" s="5"/>
    </row>
    <row r="772" spans="2:13" x14ac:dyDescent="0.3">
      <c r="B772" s="11" t="s">
        <v>1264</v>
      </c>
      <c r="C772" s="6">
        <v>0.5</v>
      </c>
      <c r="D772" s="5"/>
      <c r="E772" s="5"/>
      <c r="F772" s="5"/>
      <c r="G772" s="5"/>
      <c r="H772" s="5"/>
      <c r="I772" s="5"/>
      <c r="J772" s="5"/>
      <c r="K772" s="5"/>
      <c r="L772" s="5"/>
      <c r="M772" s="5"/>
    </row>
    <row r="773" spans="2:13" x14ac:dyDescent="0.3">
      <c r="B773" s="11" t="s">
        <v>741</v>
      </c>
      <c r="C773" s="6">
        <v>0.5</v>
      </c>
      <c r="D773" s="5"/>
      <c r="E773" s="5"/>
      <c r="F773" s="5"/>
      <c r="G773" s="5"/>
      <c r="H773" s="5"/>
      <c r="I773" s="5"/>
      <c r="J773" s="5"/>
      <c r="K773" s="5"/>
      <c r="L773" s="5"/>
      <c r="M773" s="5"/>
    </row>
    <row r="774" spans="2:13" x14ac:dyDescent="0.3">
      <c r="B774" s="11" t="s">
        <v>742</v>
      </c>
      <c r="C774" s="6">
        <v>40</v>
      </c>
      <c r="D774" s="5"/>
      <c r="E774" s="5"/>
      <c r="F774" s="5"/>
      <c r="G774" s="5"/>
      <c r="H774" s="5"/>
      <c r="I774" s="5"/>
      <c r="J774" s="5"/>
      <c r="K774" s="5"/>
      <c r="L774" s="5"/>
      <c r="M774" s="5"/>
    </row>
    <row r="775" spans="2:13" x14ac:dyDescent="0.3">
      <c r="B775" s="11" t="s">
        <v>743</v>
      </c>
      <c r="C775" s="6">
        <v>500</v>
      </c>
      <c r="D775" s="5"/>
      <c r="E775" s="5"/>
      <c r="F775" s="5"/>
      <c r="G775" s="5"/>
      <c r="H775" s="5"/>
      <c r="I775" s="5"/>
      <c r="J775" s="5"/>
      <c r="K775" s="5"/>
      <c r="L775" s="5"/>
      <c r="M775" s="5"/>
    </row>
    <row r="776" spans="2:13" x14ac:dyDescent="0.3">
      <c r="B776" s="11" t="s">
        <v>744</v>
      </c>
      <c r="C776" s="6">
        <v>3</v>
      </c>
      <c r="D776" s="5"/>
      <c r="E776" s="5"/>
      <c r="F776" s="5"/>
      <c r="G776" s="5"/>
      <c r="H776" s="5"/>
      <c r="I776" s="5"/>
      <c r="J776" s="5"/>
      <c r="K776" s="5"/>
      <c r="L776" s="5"/>
      <c r="M776" s="5"/>
    </row>
    <row r="777" spans="2:13" x14ac:dyDescent="0.3">
      <c r="B777" s="11" t="s">
        <v>745</v>
      </c>
      <c r="C777" s="6">
        <v>70000</v>
      </c>
      <c r="D777" s="5"/>
      <c r="E777" s="5"/>
      <c r="F777" s="5"/>
      <c r="G777" s="5"/>
      <c r="H777" s="5"/>
      <c r="I777" s="5"/>
      <c r="J777" s="5"/>
      <c r="K777" s="5"/>
      <c r="L777" s="5"/>
      <c r="M777" s="5"/>
    </row>
    <row r="778" spans="2:13" x14ac:dyDescent="0.3">
      <c r="B778" s="11" t="s">
        <v>746</v>
      </c>
      <c r="C778" s="6">
        <v>8</v>
      </c>
      <c r="D778" s="5"/>
      <c r="E778" s="5"/>
      <c r="F778" s="5"/>
      <c r="G778" s="5"/>
      <c r="H778" s="5"/>
      <c r="I778" s="5"/>
      <c r="J778" s="5"/>
      <c r="K778" s="5"/>
      <c r="L778" s="5"/>
      <c r="M778" s="5"/>
    </row>
    <row r="779" spans="2:13" x14ac:dyDescent="0.3">
      <c r="B779" s="11" t="s">
        <v>1265</v>
      </c>
      <c r="C779" s="6">
        <v>0.3</v>
      </c>
      <c r="D779" s="5"/>
      <c r="E779" s="5"/>
      <c r="F779" s="5"/>
      <c r="G779" s="5"/>
      <c r="H779" s="5"/>
      <c r="I779" s="5"/>
      <c r="J779" s="5"/>
      <c r="K779" s="5"/>
      <c r="L779" s="5"/>
      <c r="M779" s="5"/>
    </row>
    <row r="780" spans="2:13" x14ac:dyDescent="0.3">
      <c r="B780" s="11" t="s">
        <v>752</v>
      </c>
      <c r="C780" s="6">
        <v>7</v>
      </c>
      <c r="D780" s="5"/>
      <c r="E780" s="5"/>
      <c r="F780" s="5"/>
      <c r="G780" s="5"/>
      <c r="H780" s="5"/>
      <c r="I780" s="5"/>
      <c r="J780" s="5"/>
      <c r="K780" s="5"/>
      <c r="L780" s="5"/>
      <c r="M780" s="5"/>
    </row>
    <row r="781" spans="2:13" x14ac:dyDescent="0.3">
      <c r="B781" s="11" t="s">
        <v>753</v>
      </c>
      <c r="C781" s="6">
        <v>15</v>
      </c>
      <c r="D781" s="5"/>
      <c r="E781" s="5"/>
      <c r="F781" s="5"/>
      <c r="G781" s="5"/>
      <c r="H781" s="5"/>
      <c r="I781" s="5"/>
      <c r="J781" s="5"/>
      <c r="K781" s="5"/>
      <c r="L781" s="5"/>
      <c r="M781" s="5"/>
    </row>
    <row r="782" spans="2:13" x14ac:dyDescent="0.3">
      <c r="B782" s="11" t="s">
        <v>754</v>
      </c>
      <c r="C782" s="6">
        <v>24</v>
      </c>
      <c r="D782" s="5"/>
      <c r="E782" s="5"/>
      <c r="F782" s="5"/>
      <c r="G782" s="5"/>
      <c r="H782" s="5"/>
      <c r="I782" s="5"/>
      <c r="J782" s="5"/>
      <c r="K782" s="5"/>
      <c r="L782" s="5"/>
      <c r="M782" s="5"/>
    </row>
    <row r="783" spans="2:13" x14ac:dyDescent="0.3">
      <c r="B783" s="11" t="s">
        <v>751</v>
      </c>
      <c r="C783" s="6">
        <v>34</v>
      </c>
      <c r="D783" s="5"/>
      <c r="E783" s="5"/>
      <c r="F783" s="5"/>
      <c r="G783" s="5"/>
      <c r="H783" s="5"/>
      <c r="I783" s="5"/>
      <c r="J783" s="5"/>
      <c r="K783" s="5"/>
      <c r="L783" s="5"/>
      <c r="M783" s="5"/>
    </row>
    <row r="784" spans="2:13" x14ac:dyDescent="0.3">
      <c r="B784" s="11" t="s">
        <v>748</v>
      </c>
      <c r="C784" s="6">
        <v>0.1</v>
      </c>
      <c r="D784" s="5"/>
      <c r="E784" s="5"/>
      <c r="F784" s="5"/>
      <c r="G784" s="5"/>
      <c r="H784" s="5"/>
      <c r="I784" s="5"/>
      <c r="J784" s="5"/>
      <c r="K784" s="5"/>
      <c r="L784" s="5"/>
      <c r="M784" s="5"/>
    </row>
    <row r="785" spans="2:13" x14ac:dyDescent="0.3">
      <c r="B785" s="11" t="s">
        <v>749</v>
      </c>
      <c r="C785" s="6">
        <v>0.99</v>
      </c>
      <c r="D785" s="5"/>
      <c r="E785" s="5"/>
      <c r="F785" s="5"/>
      <c r="G785" s="5"/>
      <c r="H785" s="5"/>
      <c r="I785" s="5"/>
      <c r="J785" s="5"/>
      <c r="K785" s="5"/>
      <c r="L785" s="5"/>
      <c r="M785" s="5"/>
    </row>
    <row r="786" spans="2:13" x14ac:dyDescent="0.3">
      <c r="B786" s="11" t="s">
        <v>750</v>
      </c>
      <c r="C786" s="6">
        <v>0.99</v>
      </c>
      <c r="D786" s="5"/>
      <c r="E786" s="5"/>
      <c r="F786" s="5"/>
      <c r="G786" s="5"/>
      <c r="H786" s="5"/>
      <c r="I786" s="5"/>
      <c r="J786" s="5"/>
      <c r="K786" s="5"/>
      <c r="L786" s="5"/>
      <c r="M786" s="5"/>
    </row>
    <row r="787" spans="2:13" x14ac:dyDescent="0.3">
      <c r="B787" s="11" t="s">
        <v>747</v>
      </c>
      <c r="C787" s="6">
        <v>0.01</v>
      </c>
      <c r="D787" s="5"/>
      <c r="E787" s="5"/>
      <c r="F787" s="5"/>
      <c r="G787" s="5"/>
      <c r="H787" s="5"/>
      <c r="I787" s="5"/>
      <c r="J787" s="5"/>
      <c r="K787" s="5"/>
      <c r="L787" s="5"/>
      <c r="M787" s="5"/>
    </row>
    <row r="788" spans="2:13" x14ac:dyDescent="0.3">
      <c r="B788" s="11" t="s">
        <v>758</v>
      </c>
      <c r="C788" s="6">
        <v>5.0000000000000001E-3</v>
      </c>
      <c r="D788" s="5"/>
      <c r="E788" s="5"/>
      <c r="F788" s="5"/>
      <c r="G788" s="5"/>
      <c r="H788" s="5"/>
      <c r="I788" s="5"/>
      <c r="J788" s="5"/>
      <c r="K788" s="5"/>
      <c r="L788" s="5"/>
      <c r="M788" s="5"/>
    </row>
    <row r="789" spans="2:13" x14ac:dyDescent="0.3">
      <c r="B789" s="11" t="s">
        <v>760</v>
      </c>
      <c r="C789" s="6">
        <v>0.08</v>
      </c>
      <c r="D789" s="5"/>
      <c r="E789" s="5"/>
      <c r="F789" s="5"/>
      <c r="G789" s="5"/>
      <c r="H789" s="5"/>
      <c r="I789" s="5"/>
      <c r="J789" s="5"/>
      <c r="K789" s="5"/>
      <c r="L789" s="5"/>
      <c r="M789" s="5"/>
    </row>
    <row r="790" spans="2:13" x14ac:dyDescent="0.3">
      <c r="B790" s="11" t="s">
        <v>759</v>
      </c>
      <c r="C790" s="6">
        <v>0.45</v>
      </c>
      <c r="D790" s="5"/>
      <c r="E790" s="5"/>
      <c r="F790" s="5"/>
      <c r="G790" s="5"/>
      <c r="H790" s="5"/>
      <c r="I790" s="5"/>
      <c r="J790" s="5"/>
      <c r="K790" s="5"/>
      <c r="L790" s="5"/>
      <c r="M790" s="5"/>
    </row>
    <row r="791" spans="2:13" x14ac:dyDescent="0.3">
      <c r="B791" s="11" t="s">
        <v>891</v>
      </c>
      <c r="C791" s="6">
        <v>1.1000000000000001</v>
      </c>
      <c r="D791" s="5"/>
      <c r="E791" s="5"/>
      <c r="F791" s="5"/>
      <c r="G791" s="5"/>
      <c r="H791" s="5"/>
      <c r="I791" s="5"/>
      <c r="J791" s="5"/>
      <c r="K791" s="5"/>
      <c r="L791" s="5"/>
      <c r="M791" s="5"/>
    </row>
    <row r="792" spans="2:13" x14ac:dyDescent="0.3">
      <c r="B792" s="11" t="s">
        <v>892</v>
      </c>
      <c r="C792" s="6">
        <v>1.4</v>
      </c>
      <c r="D792" s="5"/>
      <c r="E792" s="5"/>
      <c r="F792" s="5"/>
      <c r="G792" s="5"/>
      <c r="H792" s="5"/>
      <c r="I792" s="5"/>
      <c r="J792" s="5"/>
      <c r="K792" s="5"/>
      <c r="L792" s="5"/>
      <c r="M792" s="5"/>
    </row>
    <row r="793" spans="2:13" x14ac:dyDescent="0.3">
      <c r="B793" s="17"/>
      <c r="C793" s="5" t="s">
        <v>511</v>
      </c>
      <c r="D793" s="5"/>
      <c r="E793" s="5"/>
      <c r="F793" s="5"/>
      <c r="G793" s="5"/>
      <c r="H793" s="5"/>
      <c r="I793" s="5"/>
      <c r="J793" s="5"/>
      <c r="K793" s="5"/>
      <c r="L793" s="5"/>
      <c r="M793" s="5"/>
    </row>
    <row r="794" spans="2:13" x14ac:dyDescent="0.3">
      <c r="B794" s="62" t="s">
        <v>887</v>
      </c>
      <c r="C794" s="21" t="s">
        <v>110</v>
      </c>
      <c r="D794" s="21" t="s">
        <v>111</v>
      </c>
      <c r="E794" s="21" t="s">
        <v>112</v>
      </c>
      <c r="F794" s="5" t="s">
        <v>113</v>
      </c>
      <c r="G794" s="5" t="s">
        <v>114</v>
      </c>
      <c r="H794" s="5" t="s">
        <v>115</v>
      </c>
      <c r="I794" s="5" t="s">
        <v>116</v>
      </c>
      <c r="J794" s="5" t="s">
        <v>117</v>
      </c>
      <c r="K794" s="5" t="s">
        <v>121</v>
      </c>
      <c r="L794" s="5" t="s">
        <v>122</v>
      </c>
      <c r="M794" s="5"/>
    </row>
    <row r="795" spans="2:13" x14ac:dyDescent="0.3">
      <c r="B795" s="11" t="s">
        <v>889</v>
      </c>
      <c r="C795" s="6">
        <v>0.12</v>
      </c>
      <c r="D795" s="6">
        <v>0.12</v>
      </c>
      <c r="E795" s="6">
        <v>0.12</v>
      </c>
      <c r="F795" s="5"/>
      <c r="G795" s="5"/>
      <c r="H795" s="5"/>
      <c r="I795" s="5"/>
      <c r="J795" s="5"/>
      <c r="K795" s="5"/>
      <c r="L795" s="5"/>
      <c r="M795" s="5"/>
    </row>
    <row r="796" spans="2:13" x14ac:dyDescent="0.3">
      <c r="B796" s="11" t="s">
        <v>888</v>
      </c>
      <c r="C796" s="6">
        <v>1E-3</v>
      </c>
      <c r="D796" s="6">
        <v>1E-3</v>
      </c>
      <c r="E796" s="6">
        <v>1E-3</v>
      </c>
      <c r="F796" s="5"/>
      <c r="G796" s="5"/>
      <c r="H796" s="5"/>
      <c r="I796" s="5"/>
      <c r="J796" s="5"/>
      <c r="K796" s="5"/>
      <c r="L796" s="5"/>
      <c r="M796" s="5"/>
    </row>
    <row r="797" spans="2:13" x14ac:dyDescent="0.3">
      <c r="B797" s="11" t="s">
        <v>886</v>
      </c>
      <c r="C797" s="6">
        <v>1E-3</v>
      </c>
      <c r="D797" s="6">
        <v>1E-3</v>
      </c>
      <c r="E797" s="6">
        <v>1E-3</v>
      </c>
      <c r="F797" s="5"/>
      <c r="G797" s="5"/>
      <c r="H797" s="5"/>
      <c r="I797" s="5"/>
      <c r="J797" s="5"/>
      <c r="K797" s="5"/>
      <c r="L797" s="5"/>
      <c r="M797" s="5"/>
    </row>
    <row r="798" spans="2:13" x14ac:dyDescent="0.3">
      <c r="B798" s="17"/>
      <c r="C798" s="5" t="s">
        <v>511</v>
      </c>
      <c r="D798" s="5"/>
      <c r="E798" s="5"/>
      <c r="F798" s="5"/>
      <c r="G798" s="5"/>
      <c r="H798" s="5"/>
      <c r="I798" s="5"/>
      <c r="J798" s="5"/>
      <c r="K798" s="5"/>
      <c r="L798" s="5"/>
      <c r="M798" s="5"/>
    </row>
    <row r="799" spans="2:13" x14ac:dyDescent="0.3">
      <c r="B799" s="62" t="s">
        <v>881</v>
      </c>
      <c r="C799" s="21" t="s">
        <v>110</v>
      </c>
      <c r="D799" s="21" t="s">
        <v>111</v>
      </c>
      <c r="E799" s="21" t="s">
        <v>112</v>
      </c>
      <c r="F799" s="5" t="s">
        <v>113</v>
      </c>
      <c r="G799" s="5" t="s">
        <v>114</v>
      </c>
      <c r="H799" s="5" t="s">
        <v>115</v>
      </c>
      <c r="I799" s="5" t="s">
        <v>116</v>
      </c>
      <c r="J799" s="5" t="s">
        <v>117</v>
      </c>
      <c r="K799" s="5" t="s">
        <v>121</v>
      </c>
      <c r="L799" s="5" t="s">
        <v>122</v>
      </c>
      <c r="M799" s="5"/>
    </row>
    <row r="800" spans="2:13" x14ac:dyDescent="0.3">
      <c r="B800" s="11" t="s">
        <v>885</v>
      </c>
      <c r="C800" s="6">
        <v>0.08</v>
      </c>
      <c r="D800" s="6">
        <v>0.08</v>
      </c>
      <c r="E800" s="6">
        <v>0.08</v>
      </c>
      <c r="F800" s="5"/>
      <c r="G800" s="5"/>
      <c r="H800" s="5"/>
      <c r="I800" s="5"/>
      <c r="J800" s="5"/>
      <c r="K800" s="5"/>
      <c r="L800" s="5"/>
      <c r="M800" s="5"/>
    </row>
    <row r="801" spans="1:13" x14ac:dyDescent="0.3">
      <c r="B801" s="11" t="s">
        <v>884</v>
      </c>
      <c r="C801" s="6">
        <v>1E-3</v>
      </c>
      <c r="D801" s="6">
        <v>1E-3</v>
      </c>
      <c r="E801" s="6">
        <v>1E-3</v>
      </c>
      <c r="F801" s="5"/>
      <c r="G801" s="5"/>
      <c r="H801" s="5"/>
      <c r="I801" s="5"/>
      <c r="J801" s="5"/>
      <c r="K801" s="5"/>
      <c r="L801" s="5"/>
      <c r="M801" s="5"/>
    </row>
    <row r="802" spans="1:13" x14ac:dyDescent="0.3">
      <c r="B802" s="11" t="s">
        <v>883</v>
      </c>
      <c r="C802" s="6">
        <v>1E-3</v>
      </c>
      <c r="D802" s="6">
        <v>1E-3</v>
      </c>
      <c r="E802" s="6">
        <v>1E-3</v>
      </c>
      <c r="F802" s="5"/>
      <c r="G802" s="5"/>
      <c r="H802" s="5"/>
      <c r="I802" s="5"/>
      <c r="J802" s="5"/>
      <c r="K802" s="5"/>
      <c r="L802" s="5"/>
      <c r="M802" s="5"/>
    </row>
    <row r="803" spans="1:13" x14ac:dyDescent="0.3">
      <c r="B803" s="11" t="s">
        <v>880</v>
      </c>
      <c r="C803" s="6">
        <v>0.1</v>
      </c>
      <c r="D803" s="6">
        <v>0.1</v>
      </c>
      <c r="E803" s="6">
        <v>0.1</v>
      </c>
      <c r="F803" s="5"/>
      <c r="G803" s="5"/>
      <c r="H803" s="5"/>
      <c r="I803" s="5"/>
      <c r="J803" s="5"/>
      <c r="K803" s="5"/>
      <c r="L803" s="5"/>
      <c r="M803" s="5"/>
    </row>
    <row r="804" spans="1:13" x14ac:dyDescent="0.3">
      <c r="B804" s="17"/>
      <c r="C804" s="5" t="s">
        <v>511</v>
      </c>
      <c r="D804" s="5"/>
      <c r="E804" s="5"/>
      <c r="F804" s="5"/>
      <c r="G804" s="5"/>
      <c r="H804" s="5"/>
      <c r="I804" s="5"/>
      <c r="J804" s="5"/>
      <c r="K804" s="5"/>
      <c r="L804" s="5"/>
      <c r="M804" s="5"/>
    </row>
    <row r="805" spans="1:13" x14ac:dyDescent="0.3">
      <c r="B805" s="62" t="s">
        <v>882</v>
      </c>
      <c r="C805" s="21" t="s">
        <v>110</v>
      </c>
      <c r="D805" s="21" t="s">
        <v>111</v>
      </c>
      <c r="E805" s="21" t="s">
        <v>112</v>
      </c>
      <c r="F805" s="5" t="s">
        <v>113</v>
      </c>
      <c r="G805" s="5" t="s">
        <v>114</v>
      </c>
      <c r="H805" s="5" t="s">
        <v>115</v>
      </c>
      <c r="I805" s="5" t="s">
        <v>116</v>
      </c>
      <c r="J805" s="5" t="s">
        <v>117</v>
      </c>
      <c r="K805" s="5" t="s">
        <v>121</v>
      </c>
      <c r="L805" s="5" t="s">
        <v>122</v>
      </c>
      <c r="M805" s="5"/>
    </row>
    <row r="806" spans="1:13" x14ac:dyDescent="0.3">
      <c r="B806" s="11" t="s">
        <v>879</v>
      </c>
      <c r="C806" s="6">
        <v>5.0000000000000001E-3</v>
      </c>
      <c r="D806" s="6">
        <v>5.0000000000000001E-3</v>
      </c>
      <c r="E806" s="6">
        <v>5.0000000000000001E-3</v>
      </c>
      <c r="F806" s="5"/>
      <c r="G806" s="5"/>
      <c r="H806" s="5"/>
      <c r="I806" s="5"/>
      <c r="J806" s="5"/>
      <c r="K806" s="5"/>
      <c r="L806" s="5"/>
      <c r="M806" s="5"/>
    </row>
    <row r="807" spans="1:13" x14ac:dyDescent="0.3">
      <c r="B807" s="11" t="s">
        <v>878</v>
      </c>
      <c r="C807" s="6">
        <v>0.08</v>
      </c>
      <c r="D807" s="6">
        <v>0.08</v>
      </c>
      <c r="E807" s="6">
        <v>0.08</v>
      </c>
      <c r="F807" s="5"/>
      <c r="G807" s="5"/>
      <c r="H807" s="5"/>
      <c r="I807" s="5"/>
      <c r="J807" s="5"/>
      <c r="K807" s="5"/>
      <c r="L807" s="5"/>
      <c r="M807" s="5"/>
    </row>
    <row r="808" spans="1:13" x14ac:dyDescent="0.3">
      <c r="B808" s="11" t="s">
        <v>877</v>
      </c>
      <c r="C808" s="6">
        <v>0.45</v>
      </c>
      <c r="D808" s="6">
        <v>0.45</v>
      </c>
      <c r="E808" s="6">
        <v>0.45</v>
      </c>
      <c r="F808" s="5"/>
      <c r="G808" s="5"/>
      <c r="H808" s="5"/>
      <c r="I808" s="5"/>
      <c r="J808" s="5"/>
      <c r="K808" s="5"/>
      <c r="L808" s="5"/>
      <c r="M808" s="5"/>
    </row>
    <row r="809" spans="1:13" x14ac:dyDescent="0.3">
      <c r="B809" s="11" t="s">
        <v>876</v>
      </c>
      <c r="C809" s="6">
        <v>0</v>
      </c>
      <c r="D809" s="6">
        <v>0</v>
      </c>
      <c r="E809" s="6">
        <v>0</v>
      </c>
      <c r="F809" s="5"/>
      <c r="G809" s="5"/>
      <c r="H809" s="5"/>
      <c r="I809" s="5"/>
      <c r="J809" s="5"/>
      <c r="K809" s="5"/>
      <c r="L809" s="5"/>
      <c r="M809" s="5"/>
    </row>
    <row r="810" spans="1:13" x14ac:dyDescent="0.3">
      <c r="B810" s="11" t="s">
        <v>1266</v>
      </c>
      <c r="C810" s="6">
        <v>1.4</v>
      </c>
      <c r="D810" s="6">
        <v>1.4</v>
      </c>
      <c r="E810" s="6">
        <v>1.4</v>
      </c>
      <c r="F810" s="5"/>
      <c r="G810" s="5"/>
      <c r="H810" s="5"/>
      <c r="I810" s="5"/>
      <c r="J810" s="5"/>
      <c r="K810" s="5"/>
      <c r="L810" s="5"/>
      <c r="M810" s="5"/>
    </row>
    <row r="811" spans="1:13" x14ac:dyDescent="0.3">
      <c r="B811" s="11" t="s">
        <v>875</v>
      </c>
      <c r="C811" s="6">
        <v>4</v>
      </c>
      <c r="D811" s="6">
        <v>4</v>
      </c>
      <c r="E811" s="6">
        <v>4</v>
      </c>
      <c r="F811" s="5"/>
      <c r="G811" s="5"/>
      <c r="H811" s="5"/>
      <c r="I811" s="5"/>
      <c r="J811" s="5"/>
      <c r="K811" s="5"/>
      <c r="L811" s="5"/>
      <c r="M811" s="5"/>
    </row>
    <row r="812" spans="1:13" x14ac:dyDescent="0.3">
      <c r="A812" s="25" t="s">
        <v>1683</v>
      </c>
      <c r="B812" s="11" t="s">
        <v>874</v>
      </c>
      <c r="C812" s="6">
        <v>30</v>
      </c>
      <c r="D812" s="6">
        <v>30</v>
      </c>
      <c r="E812" s="6">
        <v>30</v>
      </c>
      <c r="F812" s="5"/>
      <c r="G812" s="5"/>
      <c r="H812" s="5"/>
      <c r="I812" s="5"/>
      <c r="J812" s="5"/>
      <c r="K812" s="5"/>
      <c r="L812" s="5"/>
      <c r="M812" s="5"/>
    </row>
    <row r="813" spans="1:13" x14ac:dyDescent="0.3">
      <c r="A813" s="70" t="s">
        <v>1681</v>
      </c>
      <c r="B813" s="11" t="s">
        <v>873</v>
      </c>
      <c r="C813" s="6">
        <v>0.1</v>
      </c>
      <c r="D813" s="6">
        <v>0.1</v>
      </c>
      <c r="E813" s="6">
        <v>0.1</v>
      </c>
      <c r="F813" s="5"/>
      <c r="G813" s="5"/>
      <c r="H813" s="5"/>
      <c r="I813" s="5"/>
      <c r="J813" s="5"/>
      <c r="K813" s="5"/>
      <c r="L813" s="5"/>
      <c r="M813" s="5"/>
    </row>
    <row r="814" spans="1:13" x14ac:dyDescent="0.3">
      <c r="A814" s="69" t="s">
        <v>1682</v>
      </c>
      <c r="B814" s="11" t="s">
        <v>872</v>
      </c>
      <c r="C814" s="6">
        <v>0.99</v>
      </c>
      <c r="D814" s="6">
        <v>0.99</v>
      </c>
      <c r="E814" s="6">
        <v>0.99</v>
      </c>
      <c r="F814" s="5"/>
      <c r="G814" s="5"/>
      <c r="H814" s="5"/>
      <c r="I814" s="5"/>
      <c r="J814" s="5"/>
      <c r="K814" s="5"/>
      <c r="L814" s="5"/>
      <c r="M814" s="5"/>
    </row>
    <row r="815" spans="1:13" x14ac:dyDescent="0.3">
      <c r="A815" s="70">
        <v>5</v>
      </c>
      <c r="B815" s="17"/>
      <c r="C815" s="5" t="s">
        <v>511</v>
      </c>
      <c r="D815" s="5"/>
      <c r="E815" s="5"/>
      <c r="F815" s="5"/>
      <c r="G815" s="5"/>
      <c r="H815" s="5"/>
      <c r="I815" s="5"/>
      <c r="J815" s="5"/>
      <c r="K815" s="5"/>
      <c r="L815" s="5"/>
      <c r="M815" s="5"/>
    </row>
    <row r="816" spans="1:13" x14ac:dyDescent="0.3">
      <c r="A816" s="69">
        <f>EXP(C817*LN(A815)+C818)</f>
        <v>6.1742147206209426</v>
      </c>
      <c r="B816" s="62" t="s">
        <v>1608</v>
      </c>
      <c r="C816" s="21" t="s">
        <v>110</v>
      </c>
      <c r="D816" s="21" t="s">
        <v>111</v>
      </c>
      <c r="E816" s="21" t="s">
        <v>112</v>
      </c>
      <c r="F816" s="5" t="s">
        <v>113</v>
      </c>
      <c r="G816" s="5" t="s">
        <v>114</v>
      </c>
      <c r="H816" s="5" t="s">
        <v>115</v>
      </c>
      <c r="I816" s="5" t="s">
        <v>116</v>
      </c>
      <c r="J816" s="5" t="s">
        <v>117</v>
      </c>
      <c r="K816" s="5" t="s">
        <v>121</v>
      </c>
      <c r="L816" s="5" t="s">
        <v>122</v>
      </c>
      <c r="M816" s="5"/>
    </row>
    <row r="817" spans="1:13" x14ac:dyDescent="0.3">
      <c r="A817" s="25" t="s">
        <v>1612</v>
      </c>
      <c r="B817" s="11" t="s">
        <v>1609</v>
      </c>
      <c r="C817" s="6">
        <v>1.1000000000000001</v>
      </c>
      <c r="D817" s="6">
        <v>1.1000000000000001</v>
      </c>
      <c r="E817" s="6">
        <v>1.1000000000000001</v>
      </c>
      <c r="F817" s="5"/>
      <c r="G817" s="5"/>
      <c r="H817" s="5"/>
      <c r="I817" s="5"/>
      <c r="J817" s="5"/>
      <c r="K817" s="5"/>
      <c r="L817" s="5"/>
      <c r="M817" s="5"/>
    </row>
    <row r="818" spans="1:13" x14ac:dyDescent="0.3">
      <c r="B818" s="11" t="s">
        <v>1610</v>
      </c>
      <c r="C818" s="6">
        <v>0.05</v>
      </c>
      <c r="D818" s="6">
        <v>0.05</v>
      </c>
      <c r="E818" s="6">
        <v>0.05</v>
      </c>
      <c r="F818" s="5"/>
      <c r="G818" s="5"/>
      <c r="H818" s="5"/>
      <c r="I818" s="5"/>
      <c r="J818" s="5"/>
      <c r="K818" s="5"/>
      <c r="L818" s="5"/>
      <c r="M818" s="5"/>
    </row>
    <row r="819" spans="1:13" x14ac:dyDescent="0.3">
      <c r="A819" s="25" t="s">
        <v>1613</v>
      </c>
      <c r="B819" s="11" t="s">
        <v>1611</v>
      </c>
      <c r="C819" s="6">
        <v>1.5</v>
      </c>
      <c r="D819" s="6">
        <v>1.5</v>
      </c>
      <c r="E819" s="6">
        <v>1.5</v>
      </c>
      <c r="F819" s="5"/>
      <c r="G819" s="5"/>
      <c r="H819" s="5"/>
      <c r="I819" s="5"/>
      <c r="J819" s="5"/>
      <c r="K819" s="5"/>
      <c r="L819" s="5"/>
      <c r="M819" s="5"/>
    </row>
    <row r="820" spans="1:13" x14ac:dyDescent="0.3">
      <c r="B820" s="17"/>
      <c r="C820" s="5" t="s">
        <v>511</v>
      </c>
      <c r="D820" s="5"/>
      <c r="E820" s="5"/>
      <c r="F820" s="5"/>
      <c r="G820" s="5"/>
      <c r="H820" s="5"/>
      <c r="I820" s="5"/>
      <c r="J820" s="5"/>
      <c r="K820" s="5"/>
      <c r="L820" s="5"/>
      <c r="M820" s="5"/>
    </row>
    <row r="821" spans="1:13" x14ac:dyDescent="0.3">
      <c r="B821" s="62" t="s">
        <v>98</v>
      </c>
      <c r="C821" s="21" t="s">
        <v>69</v>
      </c>
      <c r="D821" s="5" t="s">
        <v>70</v>
      </c>
      <c r="E821" s="5" t="s">
        <v>71</v>
      </c>
      <c r="F821" s="5" t="s">
        <v>72</v>
      </c>
      <c r="G821" s="5" t="s">
        <v>73</v>
      </c>
      <c r="H821" s="5" t="s">
        <v>74</v>
      </c>
      <c r="I821" s="5" t="s">
        <v>75</v>
      </c>
      <c r="J821" s="5" t="s">
        <v>76</v>
      </c>
      <c r="K821" s="5" t="s">
        <v>77</v>
      </c>
      <c r="L821" s="5" t="s">
        <v>78</v>
      </c>
      <c r="M821" s="5"/>
    </row>
    <row r="822" spans="1:13" x14ac:dyDescent="0.3">
      <c r="B822" s="11" t="s">
        <v>871</v>
      </c>
      <c r="C822" s="6">
        <v>4.1799999999999997E-2</v>
      </c>
      <c r="D822" s="5"/>
      <c r="E822" s="5"/>
      <c r="F822" s="5"/>
      <c r="G822" s="5"/>
      <c r="H822" s="5"/>
      <c r="I822" s="5"/>
      <c r="J822" s="5"/>
      <c r="K822" s="5"/>
      <c r="L822" s="5"/>
      <c r="M822" s="5"/>
    </row>
    <row r="823" spans="1:13" x14ac:dyDescent="0.3">
      <c r="B823" s="11" t="s">
        <v>870</v>
      </c>
      <c r="C823" s="6">
        <v>1.0146999999999999</v>
      </c>
      <c r="D823" s="5"/>
      <c r="E823" s="5"/>
      <c r="F823" s="5"/>
      <c r="G823" s="5"/>
      <c r="H823" s="5"/>
      <c r="I823" s="5"/>
      <c r="J823" s="5"/>
      <c r="K823" s="5"/>
      <c r="L823" s="5"/>
      <c r="M823" s="5"/>
    </row>
    <row r="824" spans="1:13" x14ac:dyDescent="0.3">
      <c r="A824" s="25" t="s">
        <v>1013</v>
      </c>
      <c r="B824" s="11" t="s">
        <v>869</v>
      </c>
      <c r="C824" s="6">
        <v>1</v>
      </c>
      <c r="D824" s="5"/>
      <c r="E824" s="5"/>
      <c r="F824" s="5"/>
      <c r="G824" s="5"/>
      <c r="H824" s="5"/>
      <c r="I824" s="5"/>
      <c r="J824" s="5"/>
      <c r="K824" s="5"/>
      <c r="L824" s="5"/>
      <c r="M824" s="5"/>
    </row>
    <row r="825" spans="1:13" x14ac:dyDescent="0.3">
      <c r="B825" s="11" t="s">
        <v>868</v>
      </c>
      <c r="C825" s="6">
        <v>0</v>
      </c>
      <c r="D825" s="5"/>
      <c r="E825" s="5"/>
      <c r="F825" s="5"/>
      <c r="G825" s="5"/>
      <c r="H825" s="5"/>
      <c r="I825" s="5"/>
      <c r="J825" s="5"/>
      <c r="K825" s="5"/>
      <c r="L825" s="5"/>
      <c r="M825" s="5"/>
    </row>
    <row r="826" spans="1:13" x14ac:dyDescent="0.3">
      <c r="B826" s="11" t="s">
        <v>867</v>
      </c>
      <c r="C826" s="6">
        <v>5.0000000000000001E-3</v>
      </c>
      <c r="D826" s="5"/>
      <c r="E826" s="5"/>
      <c r="F826" s="5"/>
      <c r="G826" s="5"/>
      <c r="H826" s="5"/>
      <c r="I826" s="5"/>
      <c r="J826" s="5"/>
      <c r="K826" s="5"/>
      <c r="L826" s="5"/>
      <c r="M826" s="5"/>
    </row>
    <row r="827" spans="1:13" x14ac:dyDescent="0.3">
      <c r="B827" s="11" t="s">
        <v>866</v>
      </c>
      <c r="C827" s="6">
        <v>0.08</v>
      </c>
      <c r="D827" s="5"/>
      <c r="E827" s="5"/>
      <c r="F827" s="5"/>
      <c r="G827" s="5"/>
      <c r="H827" s="5"/>
      <c r="I827" s="5"/>
      <c r="J827" s="5"/>
      <c r="K827" s="5"/>
      <c r="L827" s="5"/>
      <c r="M827" s="5"/>
    </row>
    <row r="828" spans="1:13" x14ac:dyDescent="0.3">
      <c r="B828" s="11" t="s">
        <v>865</v>
      </c>
      <c r="C828" s="6">
        <v>0.45</v>
      </c>
      <c r="D828" s="5"/>
      <c r="E828" s="5"/>
      <c r="F828" s="5"/>
      <c r="G828" s="5"/>
      <c r="H828" s="5"/>
      <c r="I828" s="5"/>
      <c r="J828" s="5"/>
      <c r="K828" s="5"/>
      <c r="L828" s="5"/>
      <c r="M828" s="5"/>
    </row>
    <row r="829" spans="1:13" x14ac:dyDescent="0.3">
      <c r="B829" s="17"/>
      <c r="C829" s="5" t="s">
        <v>511</v>
      </c>
      <c r="D829" s="5"/>
      <c r="E829" s="5"/>
      <c r="F829" s="5"/>
      <c r="G829" s="5"/>
      <c r="H829" s="5"/>
      <c r="I829" s="5"/>
      <c r="J829" s="5"/>
      <c r="K829" s="5"/>
      <c r="L829" s="5"/>
      <c r="M829" s="5"/>
    </row>
    <row r="830" spans="1:13" x14ac:dyDescent="0.3">
      <c r="B830" s="62" t="s">
        <v>505</v>
      </c>
      <c r="C830" s="21" t="s">
        <v>110</v>
      </c>
      <c r="D830" s="21" t="s">
        <v>111</v>
      </c>
      <c r="E830" s="21" t="s">
        <v>112</v>
      </c>
      <c r="F830" s="5" t="s">
        <v>113</v>
      </c>
      <c r="G830" s="5" t="s">
        <v>114</v>
      </c>
      <c r="H830" s="5" t="s">
        <v>115</v>
      </c>
      <c r="I830" s="5" t="s">
        <v>116</v>
      </c>
      <c r="J830" s="5" t="s">
        <v>117</v>
      </c>
      <c r="K830" s="5" t="s">
        <v>121</v>
      </c>
      <c r="L830" s="5" t="s">
        <v>122</v>
      </c>
      <c r="M830" s="5"/>
    </row>
    <row r="831" spans="1:13" x14ac:dyDescent="0.3">
      <c r="A831" s="25" t="s">
        <v>1012</v>
      </c>
      <c r="B831" s="11" t="s">
        <v>864</v>
      </c>
      <c r="C831" s="6">
        <v>1.4999999999999999E-2</v>
      </c>
      <c r="D831" s="6">
        <v>1.4999999999999999E-2</v>
      </c>
      <c r="E831" s="6">
        <v>1.4999999999999999E-2</v>
      </c>
      <c r="F831" s="5"/>
      <c r="G831" s="5"/>
      <c r="H831" s="5"/>
      <c r="I831" s="5"/>
      <c r="J831" s="5"/>
      <c r="K831" s="5"/>
      <c r="L831" s="5"/>
      <c r="M831" s="5"/>
    </row>
    <row r="832" spans="1:13" x14ac:dyDescent="0.3">
      <c r="B832" s="11" t="s">
        <v>863</v>
      </c>
      <c r="C832" s="6">
        <v>0</v>
      </c>
      <c r="D832" s="6">
        <v>0</v>
      </c>
      <c r="E832" s="6">
        <v>0</v>
      </c>
      <c r="F832" s="5"/>
      <c r="G832" s="5"/>
      <c r="H832" s="5"/>
      <c r="I832" s="5"/>
      <c r="J832" s="5"/>
      <c r="K832" s="5"/>
      <c r="L832" s="5"/>
      <c r="M832" s="5"/>
    </row>
    <row r="833" spans="1:13" x14ac:dyDescent="0.3">
      <c r="B833" s="11" t="s">
        <v>862</v>
      </c>
      <c r="C833" s="6">
        <v>0.08</v>
      </c>
      <c r="D833" s="6">
        <v>0.08</v>
      </c>
      <c r="E833" s="6">
        <v>0.08</v>
      </c>
      <c r="F833" s="5"/>
      <c r="G833" s="5"/>
      <c r="H833" s="5"/>
      <c r="I833" s="5"/>
      <c r="J833" s="5"/>
      <c r="K833" s="5"/>
      <c r="L833" s="5"/>
      <c r="M833" s="5"/>
    </row>
    <row r="834" spans="1:13" x14ac:dyDescent="0.3">
      <c r="B834" s="11" t="s">
        <v>861</v>
      </c>
      <c r="C834" s="6">
        <v>0.4</v>
      </c>
      <c r="D834" s="6">
        <v>0.4</v>
      </c>
      <c r="E834" s="6">
        <v>0.4</v>
      </c>
      <c r="F834" s="5"/>
      <c r="G834" s="5"/>
      <c r="H834" s="5"/>
      <c r="I834" s="5"/>
      <c r="J834" s="5"/>
      <c r="K834" s="5"/>
      <c r="L834" s="5"/>
      <c r="M834" s="5"/>
    </row>
    <row r="835" spans="1:13" x14ac:dyDescent="0.3">
      <c r="B835" s="11" t="s">
        <v>860</v>
      </c>
      <c r="C835" s="6">
        <v>5</v>
      </c>
      <c r="D835" s="6">
        <v>5</v>
      </c>
      <c r="E835" s="6">
        <v>5</v>
      </c>
      <c r="F835" s="5"/>
      <c r="G835" s="5"/>
      <c r="H835" s="5"/>
      <c r="I835" s="5"/>
      <c r="J835" s="5"/>
      <c r="K835" s="5"/>
      <c r="L835" s="5"/>
      <c r="M835" s="5"/>
    </row>
    <row r="836" spans="1:13" x14ac:dyDescent="0.3">
      <c r="B836" s="11" t="s">
        <v>859</v>
      </c>
      <c r="C836" s="6">
        <v>20</v>
      </c>
      <c r="D836" s="6">
        <v>20</v>
      </c>
      <c r="E836" s="6">
        <v>20</v>
      </c>
      <c r="F836" s="5"/>
      <c r="G836" s="5"/>
      <c r="H836" s="5"/>
      <c r="I836" s="5"/>
      <c r="J836" s="5"/>
      <c r="K836" s="5"/>
      <c r="L836" s="5"/>
      <c r="M836" s="5"/>
    </row>
    <row r="837" spans="1:13" x14ac:dyDescent="0.3">
      <c r="B837" s="11" t="s">
        <v>858</v>
      </c>
      <c r="C837" s="6">
        <v>0.1</v>
      </c>
      <c r="D837" s="6">
        <v>0.1</v>
      </c>
      <c r="E837" s="6">
        <v>0.1</v>
      </c>
      <c r="F837" s="5"/>
      <c r="G837" s="5"/>
      <c r="H837" s="5"/>
      <c r="I837" s="5"/>
      <c r="J837" s="5"/>
      <c r="K837" s="5"/>
      <c r="L837" s="5"/>
      <c r="M837" s="5"/>
    </row>
    <row r="838" spans="1:13" x14ac:dyDescent="0.3">
      <c r="B838" s="11" t="s">
        <v>857</v>
      </c>
      <c r="C838" s="6">
        <v>0.99</v>
      </c>
      <c r="D838" s="6">
        <v>0.99</v>
      </c>
      <c r="E838" s="6">
        <v>0.99</v>
      </c>
      <c r="F838" s="5"/>
      <c r="G838" s="5"/>
      <c r="H838" s="5"/>
      <c r="I838" s="5"/>
      <c r="J838" s="5"/>
      <c r="K838" s="5"/>
      <c r="L838" s="5"/>
      <c r="M838" s="5"/>
    </row>
    <row r="839" spans="1:13" x14ac:dyDescent="0.3">
      <c r="A839" s="25" t="s">
        <v>1529</v>
      </c>
      <c r="B839" s="11" t="s">
        <v>1530</v>
      </c>
      <c r="C839" s="6">
        <v>168</v>
      </c>
      <c r="D839" s="6">
        <v>168</v>
      </c>
      <c r="E839" s="6">
        <v>168</v>
      </c>
      <c r="F839" s="5"/>
      <c r="G839" s="5"/>
      <c r="H839" s="5"/>
      <c r="I839" s="5"/>
      <c r="J839" s="5"/>
      <c r="K839" s="5"/>
      <c r="L839" s="5"/>
      <c r="M839" s="5"/>
    </row>
    <row r="840" spans="1:13" x14ac:dyDescent="0.3">
      <c r="B840" s="11" t="s">
        <v>890</v>
      </c>
      <c r="C840" s="6">
        <v>4.57</v>
      </c>
      <c r="D840" s="6">
        <v>4.57</v>
      </c>
      <c r="E840" s="6">
        <v>4.57</v>
      </c>
      <c r="F840" s="5"/>
      <c r="G840" s="5"/>
      <c r="H840" s="5"/>
      <c r="I840" s="5"/>
      <c r="J840" s="5"/>
      <c r="K840" s="5"/>
      <c r="L840" s="5"/>
      <c r="M840" s="5"/>
    </row>
    <row r="841" spans="1:13" x14ac:dyDescent="0.3">
      <c r="B841" s="11" t="s">
        <v>856</v>
      </c>
      <c r="C841" s="6">
        <v>0.05</v>
      </c>
      <c r="D841" s="6">
        <v>0.05</v>
      </c>
      <c r="E841" s="6">
        <v>0.05</v>
      </c>
      <c r="F841" s="5"/>
      <c r="G841" s="5"/>
      <c r="H841" s="5"/>
      <c r="I841" s="5"/>
      <c r="J841" s="5"/>
      <c r="K841" s="5"/>
      <c r="L841" s="5"/>
      <c r="M841" s="5"/>
    </row>
    <row r="842" spans="1:13" x14ac:dyDescent="0.3">
      <c r="B842" s="11" t="s">
        <v>855</v>
      </c>
      <c r="C842" s="6">
        <v>0</v>
      </c>
      <c r="D842" s="6">
        <v>0</v>
      </c>
      <c r="E842" s="6">
        <v>0</v>
      </c>
      <c r="F842" s="5"/>
      <c r="G842" s="5"/>
      <c r="H842" s="5"/>
      <c r="I842" s="5"/>
      <c r="J842" s="5"/>
      <c r="K842" s="5"/>
      <c r="L842" s="5"/>
      <c r="M842" s="5"/>
    </row>
    <row r="843" spans="1:13" x14ac:dyDescent="0.3">
      <c r="B843" s="11" t="s">
        <v>854</v>
      </c>
      <c r="C843" s="6">
        <v>0</v>
      </c>
      <c r="D843" s="6">
        <v>0</v>
      </c>
      <c r="E843" s="6">
        <v>0</v>
      </c>
      <c r="F843" s="5"/>
      <c r="G843" s="5"/>
      <c r="H843" s="5"/>
      <c r="I843" s="5"/>
      <c r="J843" s="5"/>
      <c r="K843" s="5"/>
      <c r="L843" s="5"/>
      <c r="M843" s="5"/>
    </row>
    <row r="844" spans="1:13" x14ac:dyDescent="0.3">
      <c r="B844" s="11" t="s">
        <v>852</v>
      </c>
      <c r="C844" s="6">
        <v>5</v>
      </c>
      <c r="D844" s="6">
        <v>5</v>
      </c>
      <c r="E844" s="6">
        <v>5</v>
      </c>
      <c r="F844" s="5"/>
      <c r="G844" s="5"/>
      <c r="H844" s="5"/>
      <c r="I844" s="5"/>
      <c r="J844" s="5"/>
      <c r="K844" s="5"/>
      <c r="L844" s="5"/>
      <c r="M844" s="5"/>
    </row>
    <row r="845" spans="1:13" x14ac:dyDescent="0.3">
      <c r="B845" s="11" t="s">
        <v>853</v>
      </c>
      <c r="C845" s="6">
        <v>25</v>
      </c>
      <c r="D845" s="6">
        <v>25</v>
      </c>
      <c r="E845" s="6">
        <v>25</v>
      </c>
      <c r="F845" s="5"/>
      <c r="G845" s="5"/>
      <c r="H845" s="5"/>
      <c r="I845" s="5"/>
      <c r="J845" s="5"/>
      <c r="K845" s="5"/>
      <c r="L845" s="5"/>
      <c r="M845" s="5"/>
    </row>
    <row r="846" spans="1:13" x14ac:dyDescent="0.3">
      <c r="B846" s="11" t="s">
        <v>851</v>
      </c>
      <c r="C846" s="6">
        <v>0.1</v>
      </c>
      <c r="D846" s="6">
        <v>0.1</v>
      </c>
      <c r="E846" s="6">
        <v>0.1</v>
      </c>
      <c r="F846" s="5"/>
      <c r="G846" s="5"/>
      <c r="H846" s="5"/>
      <c r="I846" s="5"/>
      <c r="J846" s="5"/>
      <c r="K846" s="5"/>
      <c r="L846" s="5"/>
      <c r="M846" s="5"/>
    </row>
    <row r="847" spans="1:13" x14ac:dyDescent="0.3">
      <c r="B847" s="11" t="s">
        <v>850</v>
      </c>
      <c r="C847" s="6">
        <v>0.99</v>
      </c>
      <c r="D847" s="6">
        <v>0.99</v>
      </c>
      <c r="E847" s="6">
        <v>0.99</v>
      </c>
      <c r="F847" s="5"/>
      <c r="G847" s="5"/>
      <c r="H847" s="5"/>
      <c r="I847" s="5"/>
      <c r="J847" s="5"/>
      <c r="K847" s="5"/>
      <c r="L847" s="5"/>
      <c r="M847" s="5"/>
    </row>
    <row r="848" spans="1:13" x14ac:dyDescent="0.3">
      <c r="B848" s="11" t="s">
        <v>849</v>
      </c>
      <c r="C848" s="6">
        <v>0.1</v>
      </c>
      <c r="D848" s="6">
        <v>0.1</v>
      </c>
      <c r="E848" s="6">
        <v>0.1</v>
      </c>
      <c r="F848" s="5"/>
      <c r="G848" s="5"/>
      <c r="H848" s="5"/>
      <c r="I848" s="5"/>
      <c r="J848" s="5"/>
      <c r="K848" s="5"/>
      <c r="L848" s="5"/>
      <c r="M848" s="5"/>
    </row>
    <row r="849" spans="1:13" x14ac:dyDescent="0.3">
      <c r="B849" s="11" t="s">
        <v>848</v>
      </c>
      <c r="C849" s="6">
        <v>0</v>
      </c>
      <c r="D849" s="6">
        <v>0</v>
      </c>
      <c r="E849" s="6">
        <v>0</v>
      </c>
      <c r="F849" s="5"/>
      <c r="G849" s="5"/>
      <c r="H849" s="5"/>
      <c r="I849" s="5"/>
      <c r="J849" s="5"/>
      <c r="K849" s="5"/>
      <c r="L849" s="5"/>
      <c r="M849" s="5"/>
    </row>
    <row r="850" spans="1:13" x14ac:dyDescent="0.3">
      <c r="B850" s="11" t="s">
        <v>847</v>
      </c>
      <c r="C850" s="6">
        <v>0.3</v>
      </c>
      <c r="D850" s="6">
        <v>0.3</v>
      </c>
      <c r="E850" s="6">
        <v>0.3</v>
      </c>
      <c r="F850" s="5"/>
      <c r="G850" s="5"/>
      <c r="H850" s="5"/>
      <c r="I850" s="5"/>
      <c r="J850" s="5"/>
      <c r="K850" s="5"/>
      <c r="L850" s="5"/>
      <c r="M850" s="5"/>
    </row>
    <row r="851" spans="1:13" x14ac:dyDescent="0.3">
      <c r="B851" s="11" t="s">
        <v>846</v>
      </c>
      <c r="C851" s="6">
        <v>0</v>
      </c>
      <c r="D851" s="6">
        <v>0</v>
      </c>
      <c r="E851" s="6">
        <v>0</v>
      </c>
      <c r="F851" s="5"/>
      <c r="G851" s="5"/>
      <c r="H851" s="5"/>
      <c r="I851" s="5"/>
      <c r="J851" s="5"/>
      <c r="K851" s="5"/>
      <c r="L851" s="5"/>
      <c r="M851" s="5"/>
    </row>
    <row r="852" spans="1:13" x14ac:dyDescent="0.3">
      <c r="A852" s="25" t="s">
        <v>1010</v>
      </c>
      <c r="B852" s="17"/>
      <c r="C852" s="5" t="s">
        <v>511</v>
      </c>
      <c r="D852" s="5"/>
      <c r="E852" s="5"/>
      <c r="F852" s="5"/>
      <c r="G852" s="5"/>
      <c r="H852" s="5"/>
      <c r="I852" s="5"/>
      <c r="J852" s="5"/>
      <c r="K852" s="5"/>
      <c r="L852" s="5"/>
      <c r="M852" s="5"/>
    </row>
    <row r="853" spans="1:13" x14ac:dyDescent="0.3">
      <c r="B853" s="62" t="s">
        <v>102</v>
      </c>
      <c r="C853" s="21" t="s">
        <v>110</v>
      </c>
      <c r="D853" s="21" t="s">
        <v>111</v>
      </c>
      <c r="E853" s="21" t="s">
        <v>112</v>
      </c>
      <c r="F853" s="5" t="s">
        <v>113</v>
      </c>
      <c r="G853" s="5" t="s">
        <v>114</v>
      </c>
      <c r="H853" s="5" t="s">
        <v>115</v>
      </c>
      <c r="I853" s="5" t="s">
        <v>116</v>
      </c>
      <c r="J853" s="5" t="s">
        <v>117</v>
      </c>
      <c r="K853" s="5" t="s">
        <v>121</v>
      </c>
      <c r="L853" s="5" t="s">
        <v>122</v>
      </c>
      <c r="M853" s="5"/>
    </row>
    <row r="854" spans="1:13" x14ac:dyDescent="0.3">
      <c r="A854" s="25" t="s">
        <v>1011</v>
      </c>
      <c r="B854" s="11" t="s">
        <v>845</v>
      </c>
      <c r="C854" s="6">
        <v>0.1</v>
      </c>
      <c r="D854" s="6">
        <v>0.1</v>
      </c>
      <c r="E854" s="6">
        <v>0.1</v>
      </c>
      <c r="F854" s="5"/>
      <c r="G854" s="5"/>
      <c r="H854" s="5"/>
      <c r="I854" s="5"/>
      <c r="J854" s="5"/>
      <c r="K854" s="5"/>
      <c r="L854" s="5"/>
      <c r="M854" s="5"/>
    </row>
    <row r="855" spans="1:13" x14ac:dyDescent="0.3">
      <c r="B855" s="17"/>
      <c r="C855" s="5" t="s">
        <v>511</v>
      </c>
      <c r="D855" s="5"/>
      <c r="E855" s="5"/>
      <c r="F855" s="5"/>
      <c r="G855" s="5"/>
      <c r="H855" s="5"/>
      <c r="I855" s="5"/>
      <c r="J855" s="5"/>
      <c r="K855" s="5"/>
      <c r="L855" s="5"/>
      <c r="M855" s="5"/>
    </row>
    <row r="856" spans="1:13" x14ac:dyDescent="0.3">
      <c r="B856" s="62" t="s">
        <v>781</v>
      </c>
      <c r="C856" s="21" t="s">
        <v>1198</v>
      </c>
      <c r="D856" s="5"/>
      <c r="E856" s="5"/>
      <c r="F856" s="5"/>
      <c r="G856" s="5"/>
      <c r="H856" s="5"/>
      <c r="I856" s="5"/>
      <c r="J856" s="5"/>
      <c r="K856" s="5"/>
      <c r="L856" s="5"/>
      <c r="M856" s="5"/>
    </row>
    <row r="857" spans="1:13" x14ac:dyDescent="0.3">
      <c r="B857" s="11" t="s">
        <v>844</v>
      </c>
      <c r="C857" s="6">
        <v>0.1</v>
      </c>
      <c r="D857" s="5"/>
      <c r="E857" s="5"/>
      <c r="F857" s="5"/>
      <c r="G857" s="5"/>
      <c r="H857" s="5"/>
      <c r="I857" s="5"/>
      <c r="J857" s="5"/>
      <c r="K857" s="5"/>
      <c r="L857" s="5"/>
      <c r="M857" s="5"/>
    </row>
    <row r="858" spans="1:13" x14ac:dyDescent="0.3">
      <c r="B858" s="17"/>
      <c r="C858" s="5" t="s">
        <v>511</v>
      </c>
      <c r="D858" s="5"/>
      <c r="E858" s="5"/>
      <c r="F858" s="5"/>
      <c r="G858" s="5"/>
      <c r="H858" s="5"/>
      <c r="I858" s="5"/>
      <c r="J858" s="5"/>
      <c r="K858" s="5"/>
      <c r="L858" s="5"/>
      <c r="M858" s="5"/>
    </row>
    <row r="859" spans="1:13" x14ac:dyDescent="0.3">
      <c r="B859" s="62" t="s">
        <v>283</v>
      </c>
      <c r="C859" s="21" t="s">
        <v>110</v>
      </c>
      <c r="D859" s="21" t="s">
        <v>111</v>
      </c>
      <c r="E859" s="21" t="s">
        <v>112</v>
      </c>
      <c r="F859" s="5" t="s">
        <v>113</v>
      </c>
      <c r="G859" s="5" t="s">
        <v>114</v>
      </c>
      <c r="H859" s="5" t="s">
        <v>115</v>
      </c>
      <c r="I859" s="5" t="s">
        <v>116</v>
      </c>
      <c r="J859" s="5" t="s">
        <v>117</v>
      </c>
      <c r="K859" s="5" t="s">
        <v>121</v>
      </c>
      <c r="L859" s="5" t="s">
        <v>122</v>
      </c>
      <c r="M859" s="5"/>
    </row>
    <row r="860" spans="1:13" x14ac:dyDescent="0.3">
      <c r="B860" s="11" t="s">
        <v>843</v>
      </c>
      <c r="C860" s="6" t="s">
        <v>17</v>
      </c>
      <c r="D860" s="6" t="s">
        <v>17</v>
      </c>
      <c r="E860" s="6" t="s">
        <v>17</v>
      </c>
      <c r="F860" s="5"/>
      <c r="G860" s="5"/>
      <c r="H860" s="5"/>
      <c r="I860" s="5"/>
      <c r="J860" s="5"/>
      <c r="K860" s="5"/>
      <c r="L860" s="5"/>
      <c r="M860" s="5"/>
    </row>
    <row r="861" spans="1:13" x14ac:dyDescent="0.3">
      <c r="B861" s="11" t="s">
        <v>842</v>
      </c>
      <c r="C861" s="6" t="s">
        <v>17</v>
      </c>
      <c r="D861" s="6" t="s">
        <v>17</v>
      </c>
      <c r="E861" s="6" t="s">
        <v>17</v>
      </c>
      <c r="F861" s="5"/>
      <c r="G861" s="5"/>
      <c r="H861" s="5"/>
      <c r="I861" s="5"/>
      <c r="J861" s="5"/>
      <c r="K861" s="5"/>
      <c r="L861" s="5"/>
      <c r="M861" s="5"/>
    </row>
    <row r="862" spans="1:13" x14ac:dyDescent="0.3">
      <c r="B862" s="11" t="s">
        <v>841</v>
      </c>
      <c r="C862" s="6">
        <v>0</v>
      </c>
      <c r="D862" s="6">
        <v>0</v>
      </c>
      <c r="E862" s="6">
        <v>0</v>
      </c>
      <c r="F862" s="5"/>
      <c r="G862" s="5"/>
      <c r="H862" s="5"/>
      <c r="I862" s="5"/>
      <c r="J862" s="5"/>
      <c r="K862" s="5"/>
      <c r="L862" s="5"/>
      <c r="M862" s="5"/>
    </row>
    <row r="863" spans="1:13" x14ac:dyDescent="0.3">
      <c r="B863" s="11" t="s">
        <v>840</v>
      </c>
      <c r="C863" s="6">
        <v>0.1</v>
      </c>
      <c r="D863" s="6">
        <v>0.1</v>
      </c>
      <c r="E863" s="6">
        <v>0.1</v>
      </c>
      <c r="F863" s="5"/>
      <c r="G863" s="5"/>
      <c r="H863" s="5"/>
      <c r="I863" s="5"/>
      <c r="J863" s="5"/>
      <c r="K863" s="5"/>
      <c r="L863" s="5"/>
      <c r="M863" s="5"/>
    </row>
    <row r="864" spans="1:13" x14ac:dyDescent="0.3">
      <c r="B864" s="11" t="s">
        <v>839</v>
      </c>
      <c r="C864" s="6">
        <v>0.1</v>
      </c>
      <c r="D864" s="6">
        <v>0.1</v>
      </c>
      <c r="E864" s="6">
        <v>0.1</v>
      </c>
      <c r="F864" s="5"/>
      <c r="G864" s="5"/>
      <c r="H864" s="5"/>
      <c r="I864" s="5"/>
      <c r="J864" s="5"/>
      <c r="K864" s="5"/>
      <c r="L864" s="5"/>
      <c r="M864" s="5"/>
    </row>
    <row r="865" spans="2:409" x14ac:dyDescent="0.3">
      <c r="B865" s="11" t="s">
        <v>838</v>
      </c>
      <c r="C865" s="6">
        <v>1</v>
      </c>
      <c r="D865" s="6">
        <v>1</v>
      </c>
      <c r="E865" s="6">
        <v>1</v>
      </c>
      <c r="F865" s="5"/>
      <c r="G865" s="5"/>
      <c r="H865" s="5"/>
      <c r="I865" s="5"/>
      <c r="J865" s="5"/>
      <c r="K865" s="5"/>
      <c r="L865" s="5"/>
      <c r="M865" s="5"/>
    </row>
    <row r="866" spans="2:409" x14ac:dyDescent="0.3">
      <c r="B866" s="11" t="s">
        <v>837</v>
      </c>
      <c r="C866" s="6">
        <v>1</v>
      </c>
      <c r="D866" s="6">
        <v>1</v>
      </c>
      <c r="E866" s="6">
        <v>1</v>
      </c>
      <c r="F866" s="5"/>
      <c r="G866" s="5"/>
      <c r="H866" s="5"/>
      <c r="I866" s="5"/>
      <c r="J866" s="5"/>
      <c r="K866" s="5"/>
      <c r="L866" s="5"/>
      <c r="M866" s="5"/>
    </row>
    <row r="867" spans="2:409" x14ac:dyDescent="0.3">
      <c r="B867" s="11" t="s">
        <v>836</v>
      </c>
      <c r="C867" s="6">
        <v>0.1</v>
      </c>
      <c r="D867" s="6">
        <v>0.1</v>
      </c>
      <c r="E867" s="6">
        <v>0.1</v>
      </c>
      <c r="F867" s="5"/>
      <c r="G867" s="5"/>
      <c r="H867" s="5"/>
      <c r="I867" s="5"/>
      <c r="J867" s="5"/>
      <c r="K867" s="5"/>
      <c r="L867" s="5"/>
      <c r="M867" s="5"/>
    </row>
    <row r="868" spans="2:409" x14ac:dyDescent="0.3">
      <c r="B868" s="11" t="s">
        <v>835</v>
      </c>
      <c r="C868" s="6" t="s">
        <v>17</v>
      </c>
      <c r="D868" s="6" t="s">
        <v>17</v>
      </c>
      <c r="E868" s="6" t="s">
        <v>17</v>
      </c>
      <c r="F868" s="5"/>
      <c r="G868" s="5"/>
      <c r="H868" s="5"/>
      <c r="I868" s="5"/>
      <c r="J868" s="5"/>
      <c r="K868" s="5"/>
      <c r="L868" s="5"/>
      <c r="M868" s="5"/>
    </row>
    <row r="869" spans="2:409" x14ac:dyDescent="0.3">
      <c r="B869" s="11" t="s">
        <v>832</v>
      </c>
      <c r="C869" s="6">
        <v>4</v>
      </c>
      <c r="D869" s="6">
        <v>4</v>
      </c>
      <c r="E869" s="6">
        <v>4</v>
      </c>
      <c r="F869" s="5"/>
      <c r="G869" s="5"/>
      <c r="H869" s="5"/>
      <c r="I869" s="5"/>
      <c r="J869" s="5"/>
      <c r="K869" s="5"/>
      <c r="L869" s="5"/>
      <c r="M869" s="5"/>
    </row>
    <row r="870" spans="2:409" x14ac:dyDescent="0.3">
      <c r="B870" s="11" t="s">
        <v>831</v>
      </c>
      <c r="C870" s="6">
        <v>20</v>
      </c>
      <c r="D870" s="6">
        <v>20</v>
      </c>
      <c r="E870" s="6">
        <v>20</v>
      </c>
      <c r="F870" s="5"/>
      <c r="G870" s="5"/>
      <c r="H870" s="5"/>
      <c r="I870" s="5"/>
      <c r="J870" s="5"/>
      <c r="K870" s="5"/>
      <c r="L870" s="5"/>
      <c r="M870" s="5"/>
    </row>
    <row r="871" spans="2:409" x14ac:dyDescent="0.3">
      <c r="B871" s="11" t="s">
        <v>834</v>
      </c>
      <c r="C871" s="6">
        <v>0.1</v>
      </c>
      <c r="D871" s="6">
        <v>0.1</v>
      </c>
      <c r="E871" s="6">
        <v>0.1</v>
      </c>
      <c r="F871" s="5"/>
      <c r="G871" s="5"/>
      <c r="H871" s="5"/>
      <c r="I871" s="5"/>
      <c r="J871" s="5"/>
      <c r="K871" s="5"/>
      <c r="L871" s="5"/>
      <c r="M871" s="5"/>
    </row>
    <row r="872" spans="2:409" x14ac:dyDescent="0.3">
      <c r="B872" s="11" t="s">
        <v>833</v>
      </c>
      <c r="C872" s="6">
        <v>0.99</v>
      </c>
      <c r="D872" s="6">
        <v>0.99</v>
      </c>
      <c r="E872" s="6">
        <v>0.99</v>
      </c>
      <c r="F872" s="5"/>
      <c r="G872" s="5"/>
      <c r="H872" s="5"/>
      <c r="I872" s="5"/>
      <c r="J872" s="5"/>
      <c r="K872" s="5"/>
      <c r="L872" s="5"/>
      <c r="M872" s="5"/>
    </row>
    <row r="873" spans="2:409" x14ac:dyDescent="0.3">
      <c r="B873" s="110"/>
      <c r="C873" s="7" t="s">
        <v>511</v>
      </c>
      <c r="D873" s="7"/>
      <c r="E873" s="7"/>
      <c r="F873" s="7"/>
      <c r="G873" s="7"/>
      <c r="H873" s="7"/>
      <c r="I873" s="7"/>
      <c r="J873" s="7"/>
      <c r="K873" s="7"/>
      <c r="L873" s="7"/>
      <c r="M873" s="7"/>
    </row>
    <row r="874" spans="2:409" x14ac:dyDescent="0.3">
      <c r="B874" s="62" t="s">
        <v>282</v>
      </c>
      <c r="C874" s="6">
        <v>1</v>
      </c>
      <c r="D874" s="6">
        <v>2</v>
      </c>
      <c r="E874" s="6">
        <v>3</v>
      </c>
      <c r="F874" s="6">
        <v>4</v>
      </c>
      <c r="G874" s="6">
        <v>5</v>
      </c>
      <c r="H874" s="6">
        <v>6</v>
      </c>
      <c r="I874" s="6">
        <v>7</v>
      </c>
      <c r="J874" s="6">
        <v>8</v>
      </c>
      <c r="K874" s="6">
        <v>9</v>
      </c>
      <c r="L874" s="6">
        <v>10</v>
      </c>
      <c r="M874" s="6">
        <v>11</v>
      </c>
      <c r="N874" s="6">
        <v>12</v>
      </c>
      <c r="O874" s="6">
        <v>13</v>
      </c>
      <c r="P874" s="6">
        <v>14</v>
      </c>
      <c r="Q874" s="6">
        <v>15</v>
      </c>
      <c r="R874" s="6">
        <v>16</v>
      </c>
      <c r="S874" s="6">
        <v>17</v>
      </c>
      <c r="T874" s="6">
        <v>18</v>
      </c>
      <c r="U874" s="6">
        <v>19</v>
      </c>
      <c r="V874" s="6">
        <v>20</v>
      </c>
      <c r="W874" s="6">
        <v>21</v>
      </c>
      <c r="X874" s="6">
        <v>22</v>
      </c>
      <c r="Y874" s="6">
        <v>23</v>
      </c>
      <c r="Z874" s="6">
        <v>24</v>
      </c>
      <c r="AA874" s="6">
        <v>25</v>
      </c>
      <c r="AB874" s="6">
        <v>26</v>
      </c>
      <c r="AC874" s="6">
        <v>27</v>
      </c>
      <c r="AD874" s="6">
        <v>28</v>
      </c>
      <c r="AE874" s="6">
        <v>29</v>
      </c>
      <c r="AF874" s="6">
        <v>30</v>
      </c>
      <c r="AG874" s="6">
        <v>31</v>
      </c>
      <c r="AH874" s="6">
        <v>32</v>
      </c>
      <c r="AI874" s="6">
        <v>33</v>
      </c>
      <c r="AJ874" s="6">
        <v>34</v>
      </c>
      <c r="AK874" s="6">
        <v>35</v>
      </c>
      <c r="AL874" s="6">
        <v>36</v>
      </c>
      <c r="AM874" s="6">
        <v>37</v>
      </c>
      <c r="AN874" s="6">
        <v>38</v>
      </c>
      <c r="AO874" s="6">
        <v>39</v>
      </c>
      <c r="AP874" s="6">
        <v>40</v>
      </c>
      <c r="AQ874" s="6">
        <v>41</v>
      </c>
      <c r="AR874" s="6">
        <v>42</v>
      </c>
      <c r="AS874" s="6">
        <v>43</v>
      </c>
      <c r="AT874" s="6">
        <v>44</v>
      </c>
      <c r="AU874" s="6">
        <v>45</v>
      </c>
      <c r="AV874" s="6">
        <v>46</v>
      </c>
      <c r="AW874" s="6">
        <v>47</v>
      </c>
      <c r="AX874" s="6">
        <v>48</v>
      </c>
      <c r="AY874" s="6">
        <v>49</v>
      </c>
      <c r="AZ874" s="6">
        <v>50</v>
      </c>
      <c r="BA874" s="6">
        <v>51</v>
      </c>
      <c r="BB874" s="6">
        <v>52</v>
      </c>
      <c r="BC874" s="6">
        <v>53</v>
      </c>
      <c r="BD874" s="6">
        <v>54</v>
      </c>
      <c r="BE874" s="6">
        <v>55</v>
      </c>
      <c r="BF874" s="6">
        <v>56</v>
      </c>
      <c r="BG874" s="6">
        <v>57</v>
      </c>
      <c r="BH874" s="6">
        <v>58</v>
      </c>
      <c r="BI874" s="6">
        <v>59</v>
      </c>
      <c r="BJ874" s="6">
        <v>60</v>
      </c>
      <c r="BK874" s="6">
        <v>61</v>
      </c>
      <c r="BL874" s="6">
        <v>62</v>
      </c>
      <c r="BM874" s="6">
        <v>63</v>
      </c>
      <c r="BN874" s="6">
        <v>64</v>
      </c>
      <c r="BO874" s="6">
        <v>65</v>
      </c>
      <c r="BP874" s="6">
        <v>66</v>
      </c>
      <c r="BQ874" s="6">
        <v>67</v>
      </c>
      <c r="BR874" s="6">
        <v>68</v>
      </c>
      <c r="BS874" s="6">
        <v>69</v>
      </c>
      <c r="BT874" s="6">
        <v>70</v>
      </c>
      <c r="BU874" s="6">
        <v>71</v>
      </c>
      <c r="BV874" s="6">
        <v>72</v>
      </c>
      <c r="BW874" s="6">
        <v>73</v>
      </c>
      <c r="BX874" s="6">
        <v>74</v>
      </c>
      <c r="BY874" s="6">
        <v>75</v>
      </c>
      <c r="BZ874" s="6">
        <v>76</v>
      </c>
      <c r="CA874" s="6">
        <v>77</v>
      </c>
      <c r="CB874" s="6">
        <v>78</v>
      </c>
      <c r="CC874" s="6">
        <v>79</v>
      </c>
      <c r="CD874" s="6">
        <v>80</v>
      </c>
      <c r="CE874" s="6">
        <v>81</v>
      </c>
      <c r="CF874" s="6">
        <v>82</v>
      </c>
      <c r="CG874" s="6">
        <v>83</v>
      </c>
      <c r="CH874" s="6">
        <v>84</v>
      </c>
      <c r="CI874" s="6">
        <v>85</v>
      </c>
      <c r="CJ874" s="6">
        <v>86</v>
      </c>
      <c r="CK874" s="6">
        <v>87</v>
      </c>
      <c r="CL874" s="6">
        <v>88</v>
      </c>
      <c r="CM874" s="6">
        <v>89</v>
      </c>
      <c r="CN874" s="6">
        <v>90</v>
      </c>
      <c r="CO874" s="6">
        <v>91</v>
      </c>
      <c r="CP874" s="6">
        <v>92</v>
      </c>
      <c r="CQ874" s="6">
        <v>93</v>
      </c>
      <c r="CR874" s="6">
        <v>94</v>
      </c>
      <c r="CS874" s="6">
        <v>95</v>
      </c>
      <c r="CT874" s="6">
        <v>96</v>
      </c>
      <c r="CU874" s="6">
        <v>97</v>
      </c>
      <c r="CV874" s="6">
        <v>98</v>
      </c>
      <c r="CW874" s="6">
        <v>99</v>
      </c>
      <c r="CX874" s="6">
        <v>100</v>
      </c>
      <c r="CY874" s="6">
        <v>101</v>
      </c>
      <c r="CZ874" s="6">
        <v>102</v>
      </c>
      <c r="DA874" s="6">
        <v>103</v>
      </c>
      <c r="DB874" s="6">
        <v>104</v>
      </c>
      <c r="DC874" s="6">
        <v>105</v>
      </c>
      <c r="DD874" s="6">
        <v>106</v>
      </c>
      <c r="DE874" s="6">
        <v>107</v>
      </c>
      <c r="DF874" s="6">
        <v>108</v>
      </c>
      <c r="DG874" s="6">
        <v>109</v>
      </c>
      <c r="DH874" s="6">
        <v>110</v>
      </c>
      <c r="DI874" s="6">
        <v>111</v>
      </c>
      <c r="DJ874" s="6">
        <v>112</v>
      </c>
      <c r="DK874" s="6">
        <v>113</v>
      </c>
      <c r="DL874" s="6">
        <v>114</v>
      </c>
      <c r="DM874" s="6">
        <v>115</v>
      </c>
      <c r="DN874" s="6">
        <v>116</v>
      </c>
      <c r="DO874" s="6">
        <v>117</v>
      </c>
      <c r="DP874" s="6">
        <v>118</v>
      </c>
      <c r="DQ874" s="6">
        <v>119</v>
      </c>
      <c r="DR874" s="6">
        <v>120</v>
      </c>
      <c r="DS874" s="6">
        <v>121</v>
      </c>
      <c r="DT874" s="6">
        <v>122</v>
      </c>
      <c r="DU874" s="6">
        <v>123</v>
      </c>
      <c r="DV874" s="6">
        <v>124</v>
      </c>
      <c r="DW874" s="6">
        <v>125</v>
      </c>
      <c r="DX874" s="6">
        <v>126</v>
      </c>
      <c r="DY874" s="6">
        <v>127</v>
      </c>
      <c r="DZ874" s="6">
        <v>128</v>
      </c>
      <c r="EA874" s="6">
        <v>129</v>
      </c>
      <c r="EB874" s="6">
        <v>130</v>
      </c>
      <c r="EC874" s="6">
        <v>131</v>
      </c>
      <c r="ED874" s="6">
        <v>132</v>
      </c>
      <c r="EE874" s="6">
        <v>133</v>
      </c>
      <c r="EF874" s="6">
        <v>134</v>
      </c>
      <c r="EG874" s="6">
        <v>135</v>
      </c>
      <c r="EH874" s="6">
        <v>136</v>
      </c>
      <c r="EI874" s="6">
        <v>137</v>
      </c>
      <c r="EJ874" s="6">
        <v>138</v>
      </c>
      <c r="EK874" s="6">
        <v>139</v>
      </c>
      <c r="EL874" s="6">
        <v>140</v>
      </c>
      <c r="EM874" s="6">
        <v>141</v>
      </c>
      <c r="EN874" s="6">
        <v>142</v>
      </c>
      <c r="EO874" s="6">
        <v>143</v>
      </c>
      <c r="EP874" s="6">
        <v>144</v>
      </c>
      <c r="EQ874" s="6">
        <v>145</v>
      </c>
      <c r="ER874" s="6">
        <v>146</v>
      </c>
      <c r="ES874" s="6">
        <v>147</v>
      </c>
      <c r="ET874" s="6">
        <v>148</v>
      </c>
      <c r="EU874" s="6">
        <v>149</v>
      </c>
      <c r="EV874" s="6">
        <v>150</v>
      </c>
      <c r="EW874" s="6">
        <v>151</v>
      </c>
      <c r="EX874" s="6">
        <v>152</v>
      </c>
      <c r="EY874" s="6">
        <v>153</v>
      </c>
      <c r="EZ874" s="6">
        <v>154</v>
      </c>
      <c r="FA874" s="6">
        <v>155</v>
      </c>
      <c r="FB874" s="6">
        <v>156</v>
      </c>
      <c r="FC874" s="6">
        <v>157</v>
      </c>
      <c r="FD874" s="6">
        <v>158</v>
      </c>
      <c r="FE874" s="6">
        <v>159</v>
      </c>
      <c r="FF874" s="6">
        <v>160</v>
      </c>
      <c r="FG874" s="6">
        <v>161</v>
      </c>
      <c r="FH874" s="6">
        <v>162</v>
      </c>
      <c r="FI874" s="6">
        <v>163</v>
      </c>
      <c r="FJ874" s="6">
        <v>164</v>
      </c>
      <c r="FK874" s="6">
        <v>165</v>
      </c>
      <c r="FL874" s="6">
        <v>166</v>
      </c>
      <c r="FM874" s="6">
        <v>167</v>
      </c>
      <c r="FN874" s="6">
        <v>168</v>
      </c>
      <c r="FO874" s="6">
        <v>169</v>
      </c>
      <c r="FP874" s="6">
        <v>170</v>
      </c>
      <c r="FQ874" s="6">
        <v>171</v>
      </c>
      <c r="FR874" s="6">
        <v>172</v>
      </c>
      <c r="FS874" s="6">
        <v>173</v>
      </c>
      <c r="FT874" s="6">
        <v>174</v>
      </c>
      <c r="FU874" s="6">
        <v>175</v>
      </c>
      <c r="FV874" s="6">
        <v>176</v>
      </c>
      <c r="FW874" s="6">
        <v>177</v>
      </c>
      <c r="FX874" s="6">
        <v>178</v>
      </c>
      <c r="FY874" s="6">
        <v>179</v>
      </c>
      <c r="FZ874" s="6">
        <v>180</v>
      </c>
      <c r="GA874" s="6">
        <v>181</v>
      </c>
      <c r="GB874" s="6">
        <v>182</v>
      </c>
      <c r="GC874" s="6">
        <v>183</v>
      </c>
      <c r="GD874" s="6">
        <v>184</v>
      </c>
      <c r="GE874" s="6">
        <v>185</v>
      </c>
      <c r="GF874" s="6">
        <v>186</v>
      </c>
      <c r="GG874" s="6">
        <v>187</v>
      </c>
      <c r="GH874" s="6">
        <v>188</v>
      </c>
      <c r="GI874" s="6">
        <v>189</v>
      </c>
      <c r="GJ874" s="6">
        <v>190</v>
      </c>
      <c r="GK874" s="6">
        <v>191</v>
      </c>
      <c r="GL874" s="6">
        <v>192</v>
      </c>
      <c r="GM874" s="6">
        <v>193</v>
      </c>
      <c r="GN874" s="6">
        <v>194</v>
      </c>
      <c r="GO874" s="6">
        <v>195</v>
      </c>
      <c r="GP874" s="6">
        <v>196</v>
      </c>
      <c r="GQ874" s="6">
        <v>197</v>
      </c>
      <c r="GR874" s="6">
        <v>198</v>
      </c>
      <c r="GS874" s="6">
        <v>199</v>
      </c>
      <c r="GT874" s="6">
        <v>200</v>
      </c>
      <c r="GU874" s="6">
        <v>201</v>
      </c>
      <c r="GV874" s="6">
        <v>202</v>
      </c>
      <c r="GW874" s="6">
        <v>203</v>
      </c>
      <c r="GX874" s="6">
        <v>204</v>
      </c>
      <c r="GY874" s="6">
        <v>205</v>
      </c>
      <c r="GZ874" s="6">
        <v>206</v>
      </c>
      <c r="HA874" s="6">
        <v>207</v>
      </c>
      <c r="HB874" s="6">
        <v>208</v>
      </c>
      <c r="HC874" s="6">
        <v>209</v>
      </c>
      <c r="HD874" s="6">
        <v>210</v>
      </c>
      <c r="HE874" s="6">
        <v>211</v>
      </c>
      <c r="HF874" s="6">
        <v>212</v>
      </c>
      <c r="HG874" s="6">
        <v>213</v>
      </c>
      <c r="HH874" s="6">
        <v>214</v>
      </c>
      <c r="HI874" s="6">
        <v>215</v>
      </c>
      <c r="HJ874" s="6">
        <v>216</v>
      </c>
      <c r="HK874" s="6">
        <v>217</v>
      </c>
      <c r="HL874" s="6">
        <v>218</v>
      </c>
      <c r="HM874" s="6">
        <v>219</v>
      </c>
      <c r="HN874" s="6">
        <v>220</v>
      </c>
      <c r="HO874" s="6">
        <v>221</v>
      </c>
      <c r="HP874" s="6">
        <v>222</v>
      </c>
      <c r="HQ874" s="6">
        <v>223</v>
      </c>
      <c r="HR874" s="6">
        <v>224</v>
      </c>
      <c r="HS874" s="6">
        <v>225</v>
      </c>
      <c r="HT874" s="6">
        <v>226</v>
      </c>
      <c r="HU874" s="6">
        <v>227</v>
      </c>
      <c r="HV874" s="6">
        <v>228</v>
      </c>
      <c r="HW874" s="6">
        <v>229</v>
      </c>
      <c r="HX874" s="6">
        <v>230</v>
      </c>
      <c r="HY874" s="6">
        <v>231</v>
      </c>
      <c r="HZ874" s="6">
        <v>232</v>
      </c>
      <c r="IA874" s="6">
        <v>233</v>
      </c>
      <c r="IB874" s="6">
        <v>234</v>
      </c>
      <c r="IC874" s="6">
        <v>235</v>
      </c>
      <c r="ID874" s="6">
        <v>236</v>
      </c>
      <c r="IE874" s="6">
        <v>237</v>
      </c>
      <c r="IF874" s="6">
        <v>238</v>
      </c>
      <c r="IG874" s="6">
        <v>239</v>
      </c>
      <c r="IH874" s="6">
        <v>240</v>
      </c>
      <c r="II874" s="6">
        <v>241</v>
      </c>
      <c r="IJ874" s="6">
        <v>242</v>
      </c>
      <c r="IK874" s="6">
        <v>243</v>
      </c>
      <c r="IL874" s="6">
        <v>244</v>
      </c>
      <c r="IM874" s="6">
        <v>245</v>
      </c>
      <c r="IN874" s="6">
        <v>246</v>
      </c>
      <c r="IO874" s="6">
        <v>247</v>
      </c>
      <c r="IP874" s="6">
        <v>248</v>
      </c>
      <c r="IQ874" s="6">
        <v>249</v>
      </c>
      <c r="IR874" s="6">
        <v>250</v>
      </c>
      <c r="IS874" s="6">
        <v>251</v>
      </c>
      <c r="IT874" s="6">
        <v>252</v>
      </c>
      <c r="IU874" s="6">
        <v>253</v>
      </c>
      <c r="IV874" s="6">
        <v>254</v>
      </c>
      <c r="IW874" s="6">
        <v>255</v>
      </c>
      <c r="IX874" s="6">
        <v>256</v>
      </c>
      <c r="IY874" s="6">
        <v>257</v>
      </c>
      <c r="IZ874" s="6">
        <v>258</v>
      </c>
      <c r="JA874" s="6">
        <v>259</v>
      </c>
      <c r="JB874" s="6">
        <v>260</v>
      </c>
      <c r="JC874" s="6">
        <v>261</v>
      </c>
      <c r="JD874" s="6">
        <v>262</v>
      </c>
      <c r="JE874" s="6">
        <v>263</v>
      </c>
      <c r="JF874" s="6">
        <v>264</v>
      </c>
      <c r="JG874" s="6">
        <v>265</v>
      </c>
      <c r="JH874" s="6">
        <v>266</v>
      </c>
      <c r="JI874" s="6">
        <v>267</v>
      </c>
      <c r="JJ874" s="6">
        <v>268</v>
      </c>
      <c r="JK874" s="6">
        <v>269</v>
      </c>
      <c r="JL874" s="6">
        <v>270</v>
      </c>
      <c r="JM874" s="6">
        <v>271</v>
      </c>
      <c r="JN874" s="6">
        <v>272</v>
      </c>
      <c r="JO874" s="6">
        <v>273</v>
      </c>
      <c r="JP874" s="6">
        <v>274</v>
      </c>
      <c r="JQ874" s="6">
        <v>275</v>
      </c>
      <c r="JR874" s="6">
        <v>276</v>
      </c>
      <c r="JS874" s="6">
        <v>277</v>
      </c>
      <c r="JT874" s="6">
        <v>278</v>
      </c>
      <c r="JU874" s="6">
        <v>279</v>
      </c>
      <c r="JV874" s="6">
        <v>280</v>
      </c>
      <c r="JW874" s="6">
        <v>281</v>
      </c>
      <c r="JX874" s="6">
        <v>282</v>
      </c>
      <c r="JY874" s="6">
        <v>283</v>
      </c>
      <c r="JZ874" s="6">
        <v>284</v>
      </c>
      <c r="KA874" s="6">
        <v>285</v>
      </c>
      <c r="KB874" s="6">
        <v>286</v>
      </c>
      <c r="KC874" s="6">
        <v>287</v>
      </c>
      <c r="KD874" s="6">
        <v>288</v>
      </c>
      <c r="KE874" s="6">
        <v>289</v>
      </c>
      <c r="KF874" s="6">
        <v>290</v>
      </c>
      <c r="KG874" s="6">
        <v>291</v>
      </c>
      <c r="KH874" s="6">
        <v>292</v>
      </c>
      <c r="KI874" s="6">
        <v>293</v>
      </c>
      <c r="KJ874" s="6">
        <v>294</v>
      </c>
      <c r="KK874" s="6">
        <v>295</v>
      </c>
      <c r="KL874" s="6">
        <v>296</v>
      </c>
      <c r="KM874" s="6">
        <v>297</v>
      </c>
      <c r="KN874" s="6">
        <v>298</v>
      </c>
      <c r="KO874" s="6">
        <v>299</v>
      </c>
      <c r="KP874" s="6">
        <v>300</v>
      </c>
      <c r="KQ874" s="6">
        <v>301</v>
      </c>
      <c r="KR874" s="6">
        <v>302</v>
      </c>
      <c r="KS874" s="6">
        <v>303</v>
      </c>
      <c r="KT874" s="6">
        <v>304</v>
      </c>
      <c r="KU874" s="6">
        <v>305</v>
      </c>
      <c r="KV874" s="6">
        <v>306</v>
      </c>
      <c r="KW874" s="6">
        <v>307</v>
      </c>
      <c r="KX874" s="6">
        <v>308</v>
      </c>
      <c r="KY874" s="6">
        <v>309</v>
      </c>
      <c r="KZ874" s="6">
        <v>310</v>
      </c>
      <c r="LA874" s="6">
        <v>311</v>
      </c>
      <c r="LB874" s="6">
        <v>312</v>
      </c>
      <c r="LC874" s="6">
        <v>313</v>
      </c>
      <c r="LD874" s="6">
        <v>314</v>
      </c>
      <c r="LE874" s="6">
        <v>315</v>
      </c>
      <c r="LF874" s="6">
        <v>316</v>
      </c>
      <c r="LG874" s="6">
        <v>317</v>
      </c>
      <c r="LH874" s="6">
        <v>318</v>
      </c>
      <c r="LI874" s="6">
        <v>319</v>
      </c>
      <c r="LJ874" s="6">
        <v>320</v>
      </c>
      <c r="LK874" s="6">
        <v>321</v>
      </c>
      <c r="LL874" s="6">
        <v>322</v>
      </c>
      <c r="LM874" s="6">
        <v>323</v>
      </c>
      <c r="LN874" s="6">
        <v>324</v>
      </c>
      <c r="LO874" s="6">
        <v>325</v>
      </c>
      <c r="LP874" s="6">
        <v>326</v>
      </c>
      <c r="LQ874" s="6">
        <v>327</v>
      </c>
      <c r="LR874" s="6">
        <v>328</v>
      </c>
      <c r="LS874" s="6">
        <v>329</v>
      </c>
      <c r="LT874" s="6">
        <v>330</v>
      </c>
      <c r="LU874" s="6">
        <v>331</v>
      </c>
      <c r="LV874" s="6">
        <v>332</v>
      </c>
      <c r="LW874" s="6">
        <v>333</v>
      </c>
      <c r="LX874" s="6">
        <v>334</v>
      </c>
      <c r="LY874" s="6">
        <v>335</v>
      </c>
      <c r="LZ874" s="6">
        <v>336</v>
      </c>
      <c r="MA874" s="6">
        <v>337</v>
      </c>
      <c r="MB874" s="6">
        <v>338</v>
      </c>
      <c r="MC874" s="6">
        <v>339</v>
      </c>
      <c r="MD874" s="6">
        <v>340</v>
      </c>
      <c r="ME874" s="6">
        <v>341</v>
      </c>
      <c r="MF874" s="6">
        <v>342</v>
      </c>
      <c r="MG874" s="6">
        <v>343</v>
      </c>
      <c r="MH874" s="6">
        <v>344</v>
      </c>
      <c r="MI874" s="6">
        <v>345</v>
      </c>
      <c r="MJ874" s="6">
        <v>346</v>
      </c>
      <c r="MK874" s="6">
        <v>347</v>
      </c>
      <c r="ML874" s="6">
        <v>348</v>
      </c>
      <c r="MM874" s="6">
        <v>349</v>
      </c>
      <c r="MN874" s="6">
        <v>350</v>
      </c>
      <c r="MO874" s="6">
        <v>351</v>
      </c>
      <c r="MP874" s="6">
        <v>352</v>
      </c>
      <c r="MQ874" s="6">
        <v>353</v>
      </c>
      <c r="MR874" s="6">
        <v>354</v>
      </c>
      <c r="MS874" s="6">
        <v>355</v>
      </c>
      <c r="MT874" s="6">
        <v>356</v>
      </c>
      <c r="MU874" s="6">
        <v>357</v>
      </c>
      <c r="MV874" s="6">
        <v>358</v>
      </c>
      <c r="MW874" s="6">
        <v>359</v>
      </c>
      <c r="MX874" s="6">
        <v>360</v>
      </c>
      <c r="MY874" s="6">
        <v>361</v>
      </c>
      <c r="MZ874" s="6">
        <v>362</v>
      </c>
      <c r="NA874" s="6">
        <v>363</v>
      </c>
      <c r="NB874" s="6">
        <v>364</v>
      </c>
      <c r="NC874" s="6">
        <v>365</v>
      </c>
      <c r="ND874" s="6">
        <v>366</v>
      </c>
      <c r="NE874" s="6">
        <v>367</v>
      </c>
      <c r="NF874" s="6">
        <v>368</v>
      </c>
      <c r="NG874" s="6">
        <v>369</v>
      </c>
      <c r="NH874" s="6">
        <v>370</v>
      </c>
      <c r="NI874" s="6">
        <v>371</v>
      </c>
      <c r="NJ874" s="6">
        <v>372</v>
      </c>
      <c r="NK874" s="6">
        <v>373</v>
      </c>
      <c r="NL874" s="6">
        <v>374</v>
      </c>
      <c r="NM874" s="6">
        <v>375</v>
      </c>
      <c r="NN874" s="6">
        <v>376</v>
      </c>
      <c r="NO874" s="6">
        <v>377</v>
      </c>
      <c r="NP874" s="6">
        <v>378</v>
      </c>
      <c r="NQ874" s="6">
        <v>379</v>
      </c>
      <c r="NR874" s="6">
        <v>380</v>
      </c>
      <c r="NS874" s="6">
        <v>381</v>
      </c>
      <c r="NT874" s="6">
        <v>382</v>
      </c>
      <c r="NU874" s="6">
        <v>383</v>
      </c>
      <c r="NV874" s="6">
        <v>384</v>
      </c>
      <c r="NW874" s="6">
        <v>385</v>
      </c>
      <c r="NX874" s="6">
        <v>386</v>
      </c>
      <c r="NY874" s="6">
        <v>387</v>
      </c>
      <c r="NZ874" s="6">
        <v>388</v>
      </c>
      <c r="OA874" s="6">
        <v>389</v>
      </c>
      <c r="OB874" s="6">
        <v>390</v>
      </c>
      <c r="OC874" s="6">
        <v>391</v>
      </c>
      <c r="OD874" s="6">
        <v>392</v>
      </c>
      <c r="OE874" s="6">
        <v>393</v>
      </c>
      <c r="OF874" s="6">
        <v>394</v>
      </c>
      <c r="OG874" s="6">
        <v>395</v>
      </c>
      <c r="OH874" s="6">
        <v>396</v>
      </c>
      <c r="OI874" s="6">
        <v>397</v>
      </c>
      <c r="OJ874" s="6">
        <v>398</v>
      </c>
      <c r="OK874" s="6">
        <v>399</v>
      </c>
      <c r="OL874" s="6">
        <v>400</v>
      </c>
      <c r="OM874" s="6">
        <v>401</v>
      </c>
      <c r="ON874" s="6">
        <v>402</v>
      </c>
      <c r="OO874" s="6">
        <v>403</v>
      </c>
      <c r="OP874" s="6">
        <v>404</v>
      </c>
      <c r="OQ874" s="6">
        <v>405</v>
      </c>
      <c r="OR874" s="6">
        <v>406</v>
      </c>
      <c r="OS874" s="6">
        <v>407</v>
      </c>
    </row>
    <row r="875" spans="2:409" x14ac:dyDescent="0.3">
      <c r="B875" s="11" t="s">
        <v>830</v>
      </c>
      <c r="C875" s="6">
        <v>2</v>
      </c>
      <c r="D875" s="6">
        <v>2</v>
      </c>
      <c r="E875" s="6">
        <v>2</v>
      </c>
      <c r="F875" s="6">
        <v>2</v>
      </c>
      <c r="G875" s="6">
        <v>2</v>
      </c>
      <c r="H875" s="6">
        <v>2</v>
      </c>
      <c r="I875" s="6">
        <v>2</v>
      </c>
      <c r="J875" s="6">
        <v>2</v>
      </c>
      <c r="K875" s="6">
        <v>2</v>
      </c>
      <c r="L875" s="6">
        <v>2</v>
      </c>
      <c r="M875" s="6">
        <v>2</v>
      </c>
      <c r="N875" s="6">
        <v>2</v>
      </c>
      <c r="O875" s="6">
        <v>2</v>
      </c>
      <c r="P875" s="6">
        <v>2</v>
      </c>
      <c r="Q875" s="6">
        <v>2</v>
      </c>
      <c r="R875" s="6">
        <v>2</v>
      </c>
      <c r="S875" s="6">
        <v>2</v>
      </c>
      <c r="T875" s="6">
        <v>2</v>
      </c>
      <c r="U875" s="6">
        <v>2</v>
      </c>
      <c r="V875" s="6">
        <v>2</v>
      </c>
      <c r="W875" s="6">
        <v>2</v>
      </c>
      <c r="X875" s="6">
        <v>2</v>
      </c>
      <c r="Y875" s="6">
        <v>2</v>
      </c>
      <c r="Z875" s="6">
        <v>2</v>
      </c>
      <c r="AA875" s="6">
        <v>2</v>
      </c>
      <c r="AB875" s="6">
        <v>2</v>
      </c>
      <c r="AC875" s="6">
        <v>2</v>
      </c>
      <c r="AD875" s="6">
        <v>2</v>
      </c>
      <c r="AE875" s="6">
        <v>2</v>
      </c>
      <c r="AF875" s="6">
        <v>2</v>
      </c>
      <c r="AG875" s="6">
        <v>2</v>
      </c>
      <c r="AH875" s="6">
        <v>2</v>
      </c>
      <c r="AI875" s="6">
        <v>2</v>
      </c>
      <c r="AJ875" s="6">
        <v>2</v>
      </c>
      <c r="AK875" s="6">
        <v>2</v>
      </c>
      <c r="AL875" s="6">
        <v>2</v>
      </c>
      <c r="AM875" s="6">
        <v>2</v>
      </c>
      <c r="AN875" s="6">
        <v>2</v>
      </c>
      <c r="AO875" s="6">
        <v>2</v>
      </c>
      <c r="AP875" s="6">
        <v>2</v>
      </c>
      <c r="AQ875" s="6">
        <v>2</v>
      </c>
      <c r="AR875" s="6">
        <v>2</v>
      </c>
      <c r="AS875" s="6">
        <v>2</v>
      </c>
      <c r="AT875" s="6">
        <v>2</v>
      </c>
      <c r="AU875" s="6">
        <v>2</v>
      </c>
      <c r="AV875" s="6">
        <v>2</v>
      </c>
      <c r="AW875" s="6">
        <v>2</v>
      </c>
      <c r="AX875" s="6">
        <v>2</v>
      </c>
      <c r="AY875" s="6">
        <v>2</v>
      </c>
      <c r="AZ875" s="6">
        <v>2</v>
      </c>
      <c r="BA875" s="6">
        <v>2</v>
      </c>
      <c r="BB875" s="6">
        <v>2</v>
      </c>
      <c r="BC875" s="6">
        <v>2</v>
      </c>
      <c r="BD875" s="6">
        <v>2</v>
      </c>
      <c r="BE875" s="6">
        <v>2</v>
      </c>
      <c r="BF875" s="6">
        <v>2</v>
      </c>
      <c r="BG875" s="6">
        <v>2</v>
      </c>
      <c r="BH875" s="6">
        <v>2</v>
      </c>
      <c r="BI875" s="6">
        <v>2</v>
      </c>
      <c r="BJ875" s="6">
        <v>2</v>
      </c>
      <c r="BK875" s="6">
        <v>2</v>
      </c>
      <c r="BL875" s="6">
        <v>2</v>
      </c>
      <c r="BM875" s="6">
        <v>2</v>
      </c>
      <c r="BN875" s="6">
        <v>2</v>
      </c>
      <c r="BO875" s="6">
        <v>2</v>
      </c>
      <c r="BP875" s="6">
        <v>2</v>
      </c>
      <c r="BQ875" s="6">
        <v>2</v>
      </c>
      <c r="BR875" s="6">
        <v>2</v>
      </c>
      <c r="BS875" s="6">
        <v>2</v>
      </c>
      <c r="BT875" s="6">
        <v>2</v>
      </c>
      <c r="BU875" s="6">
        <v>2</v>
      </c>
      <c r="BV875" s="6">
        <v>2</v>
      </c>
      <c r="BW875" s="6">
        <v>2</v>
      </c>
      <c r="BX875" s="6">
        <v>2</v>
      </c>
      <c r="BY875" s="6">
        <v>2</v>
      </c>
      <c r="BZ875" s="6">
        <v>2</v>
      </c>
      <c r="CA875" s="6">
        <v>2</v>
      </c>
      <c r="CB875" s="6">
        <v>2</v>
      </c>
      <c r="CC875" s="6">
        <v>2</v>
      </c>
      <c r="CD875" s="6">
        <v>2</v>
      </c>
      <c r="CE875" s="6">
        <v>2</v>
      </c>
      <c r="CF875" s="6">
        <v>2</v>
      </c>
      <c r="CG875" s="6">
        <v>2</v>
      </c>
      <c r="CH875" s="6">
        <v>2</v>
      </c>
      <c r="CI875" s="6">
        <v>2</v>
      </c>
      <c r="CJ875" s="6">
        <v>2</v>
      </c>
      <c r="CK875" s="6">
        <v>2</v>
      </c>
      <c r="CL875" s="6">
        <v>2</v>
      </c>
      <c r="CM875" s="6">
        <v>2</v>
      </c>
      <c r="CN875" s="6">
        <v>2</v>
      </c>
      <c r="CO875" s="6">
        <v>2</v>
      </c>
      <c r="CP875" s="6">
        <v>2</v>
      </c>
      <c r="CQ875" s="6">
        <v>2</v>
      </c>
      <c r="CR875" s="6">
        <v>2</v>
      </c>
      <c r="CS875" s="6">
        <v>2</v>
      </c>
      <c r="CT875" s="6">
        <v>2</v>
      </c>
      <c r="CU875" s="6">
        <v>2</v>
      </c>
      <c r="CV875" s="6">
        <v>2</v>
      </c>
      <c r="CW875" s="6">
        <v>2</v>
      </c>
      <c r="CX875" s="6">
        <v>2</v>
      </c>
      <c r="CY875" s="6">
        <v>2</v>
      </c>
      <c r="CZ875" s="6">
        <v>2</v>
      </c>
      <c r="DA875" s="6">
        <v>2</v>
      </c>
      <c r="DB875" s="6">
        <v>2</v>
      </c>
      <c r="DC875" s="6">
        <v>2</v>
      </c>
      <c r="DD875" s="6">
        <v>2</v>
      </c>
      <c r="DE875" s="6">
        <v>2</v>
      </c>
      <c r="DF875" s="6">
        <v>2</v>
      </c>
      <c r="DG875" s="6">
        <v>2</v>
      </c>
      <c r="DH875" s="6">
        <v>2</v>
      </c>
      <c r="DI875" s="6">
        <v>2</v>
      </c>
      <c r="DJ875" s="6">
        <v>2</v>
      </c>
      <c r="DK875" s="6">
        <v>2</v>
      </c>
      <c r="DL875" s="6">
        <v>2</v>
      </c>
      <c r="DM875" s="6">
        <v>2</v>
      </c>
      <c r="DN875" s="6">
        <v>2</v>
      </c>
      <c r="DO875" s="6">
        <v>2</v>
      </c>
      <c r="DP875" s="6">
        <v>2</v>
      </c>
      <c r="DQ875" s="6">
        <v>2</v>
      </c>
      <c r="DR875" s="6">
        <v>2</v>
      </c>
      <c r="DS875" s="6">
        <v>2</v>
      </c>
      <c r="DT875" s="6">
        <v>2</v>
      </c>
      <c r="DU875" s="6">
        <v>2</v>
      </c>
      <c r="DV875" s="6">
        <v>2</v>
      </c>
      <c r="DW875" s="6">
        <v>2</v>
      </c>
      <c r="DX875" s="6">
        <v>2</v>
      </c>
      <c r="DY875" s="6">
        <v>2</v>
      </c>
      <c r="DZ875" s="6">
        <v>2</v>
      </c>
      <c r="EA875" s="6">
        <v>2</v>
      </c>
      <c r="EB875" s="6">
        <v>2</v>
      </c>
      <c r="EC875" s="6">
        <v>2</v>
      </c>
      <c r="ED875" s="6">
        <v>2</v>
      </c>
      <c r="EE875" s="6">
        <v>2</v>
      </c>
      <c r="EF875" s="6">
        <v>2</v>
      </c>
      <c r="EG875" s="6">
        <v>2</v>
      </c>
      <c r="EH875" s="6">
        <v>2</v>
      </c>
      <c r="EI875" s="6">
        <v>2</v>
      </c>
      <c r="EJ875" s="6">
        <v>2</v>
      </c>
      <c r="EK875" s="6">
        <v>2</v>
      </c>
      <c r="EL875" s="6">
        <v>2</v>
      </c>
      <c r="EM875" s="6">
        <v>2</v>
      </c>
      <c r="EN875" s="6">
        <v>2</v>
      </c>
      <c r="EO875" s="6">
        <v>2</v>
      </c>
      <c r="EP875" s="6">
        <v>2</v>
      </c>
      <c r="EQ875" s="6">
        <v>2</v>
      </c>
      <c r="ER875" s="6">
        <v>2</v>
      </c>
      <c r="ES875" s="6">
        <v>2</v>
      </c>
      <c r="ET875" s="6">
        <v>2</v>
      </c>
      <c r="EU875" s="6">
        <v>2</v>
      </c>
      <c r="EV875" s="6">
        <v>2</v>
      </c>
      <c r="EW875" s="6">
        <v>2</v>
      </c>
      <c r="EX875" s="6">
        <v>2</v>
      </c>
      <c r="EY875" s="6">
        <v>2</v>
      </c>
      <c r="EZ875" s="6">
        <v>2</v>
      </c>
      <c r="FA875" s="6">
        <v>2</v>
      </c>
      <c r="FB875" s="6">
        <v>2</v>
      </c>
      <c r="FC875" s="6">
        <v>2</v>
      </c>
      <c r="FD875" s="6">
        <v>2</v>
      </c>
      <c r="FE875" s="6">
        <v>2</v>
      </c>
      <c r="FF875" s="6">
        <v>2</v>
      </c>
      <c r="FG875" s="6">
        <v>2</v>
      </c>
      <c r="FH875" s="6">
        <v>2</v>
      </c>
      <c r="FI875" s="6">
        <v>2</v>
      </c>
      <c r="FJ875" s="6">
        <v>2</v>
      </c>
      <c r="FK875" s="6">
        <v>2</v>
      </c>
      <c r="FL875" s="6">
        <v>2</v>
      </c>
      <c r="FM875" s="6">
        <v>2</v>
      </c>
      <c r="FN875" s="6">
        <v>2</v>
      </c>
      <c r="FO875" s="6">
        <v>2</v>
      </c>
      <c r="FP875" s="6">
        <v>2</v>
      </c>
      <c r="FQ875" s="6">
        <v>2</v>
      </c>
      <c r="FR875" s="6">
        <v>2</v>
      </c>
      <c r="FS875" s="6">
        <v>2</v>
      </c>
      <c r="FT875" s="6">
        <v>2</v>
      </c>
      <c r="FU875" s="6">
        <v>2</v>
      </c>
      <c r="FV875" s="6">
        <v>2</v>
      </c>
      <c r="FW875" s="6">
        <v>2</v>
      </c>
      <c r="FX875" s="6">
        <v>2</v>
      </c>
      <c r="FY875" s="6">
        <v>2</v>
      </c>
      <c r="FZ875" s="6">
        <v>2</v>
      </c>
      <c r="GA875" s="6">
        <v>2</v>
      </c>
      <c r="GB875" s="6">
        <v>2</v>
      </c>
      <c r="GC875" s="6">
        <v>2</v>
      </c>
      <c r="GD875" s="6">
        <v>2</v>
      </c>
      <c r="GE875" s="6">
        <v>2</v>
      </c>
      <c r="GF875" s="6">
        <v>2</v>
      </c>
      <c r="GG875" s="6">
        <v>2</v>
      </c>
      <c r="GH875" s="6">
        <v>2</v>
      </c>
      <c r="GI875" s="6">
        <v>2</v>
      </c>
      <c r="GJ875" s="6">
        <v>2</v>
      </c>
      <c r="GK875" s="6">
        <v>2</v>
      </c>
      <c r="GL875" s="6">
        <v>2</v>
      </c>
      <c r="GM875" s="6">
        <v>2</v>
      </c>
      <c r="GN875" s="6">
        <v>2</v>
      </c>
      <c r="GO875" s="6">
        <v>2</v>
      </c>
      <c r="GP875" s="6">
        <v>2</v>
      </c>
      <c r="GQ875" s="6">
        <v>2</v>
      </c>
      <c r="GR875" s="6">
        <v>2</v>
      </c>
      <c r="GS875" s="6">
        <v>2</v>
      </c>
      <c r="GT875" s="6">
        <v>2</v>
      </c>
      <c r="GU875" s="6">
        <v>2</v>
      </c>
      <c r="GV875" s="6">
        <v>2</v>
      </c>
      <c r="GW875" s="6">
        <v>2</v>
      </c>
      <c r="GX875" s="6">
        <v>2</v>
      </c>
      <c r="GY875" s="6">
        <v>2</v>
      </c>
      <c r="GZ875" s="6">
        <v>2</v>
      </c>
      <c r="HA875" s="6">
        <v>2</v>
      </c>
      <c r="HB875" s="6">
        <v>2</v>
      </c>
      <c r="HC875" s="6">
        <v>2</v>
      </c>
      <c r="HD875" s="6">
        <v>2</v>
      </c>
      <c r="HE875" s="6">
        <v>2</v>
      </c>
      <c r="HF875" s="6">
        <v>2</v>
      </c>
      <c r="HG875" s="6">
        <v>2</v>
      </c>
      <c r="HH875" s="6">
        <v>2</v>
      </c>
      <c r="HI875" s="6">
        <v>2</v>
      </c>
      <c r="HJ875" s="6">
        <v>2</v>
      </c>
      <c r="HK875" s="6">
        <v>2</v>
      </c>
      <c r="HL875" s="6">
        <v>2</v>
      </c>
      <c r="HM875" s="6">
        <v>2</v>
      </c>
      <c r="HN875" s="6">
        <v>2</v>
      </c>
      <c r="HO875" s="6">
        <v>2</v>
      </c>
      <c r="HP875" s="6">
        <v>2</v>
      </c>
      <c r="HQ875" s="6">
        <v>2</v>
      </c>
      <c r="HR875" s="6">
        <v>2</v>
      </c>
      <c r="HS875" s="6">
        <v>2</v>
      </c>
      <c r="HT875" s="6">
        <v>1.4</v>
      </c>
      <c r="HU875" s="6">
        <v>1.4</v>
      </c>
      <c r="HV875" s="6">
        <v>1.4</v>
      </c>
      <c r="HW875" s="6">
        <v>1.4</v>
      </c>
      <c r="HX875" s="6">
        <v>1.4</v>
      </c>
      <c r="HY875" s="6">
        <v>1.4</v>
      </c>
      <c r="HZ875" s="6">
        <v>1.4</v>
      </c>
      <c r="IA875" s="6">
        <v>1.4</v>
      </c>
      <c r="IB875" s="6">
        <v>1.4</v>
      </c>
      <c r="IC875" s="6">
        <v>1.4</v>
      </c>
      <c r="ID875" s="6">
        <v>1.4</v>
      </c>
      <c r="IE875" s="6">
        <v>1.4</v>
      </c>
      <c r="IF875" s="6">
        <v>1.4</v>
      </c>
      <c r="IG875" s="6">
        <v>1.4</v>
      </c>
      <c r="IH875" s="6">
        <v>1.4</v>
      </c>
      <c r="II875" s="6">
        <v>1.4</v>
      </c>
      <c r="IJ875" s="6">
        <v>1.4</v>
      </c>
      <c r="IK875" s="6">
        <v>1.4</v>
      </c>
      <c r="IL875" s="6">
        <v>1.4</v>
      </c>
      <c r="IM875" s="6">
        <v>1.4</v>
      </c>
      <c r="IN875" s="6">
        <v>1.4</v>
      </c>
      <c r="IO875" s="6">
        <v>1.4</v>
      </c>
      <c r="IP875" s="6">
        <v>1.4</v>
      </c>
      <c r="IQ875" s="6">
        <v>1.4</v>
      </c>
      <c r="IR875" s="6">
        <v>1.4</v>
      </c>
      <c r="IS875" s="6">
        <v>1.4</v>
      </c>
      <c r="IT875" s="6">
        <v>1.4</v>
      </c>
      <c r="IU875" s="6">
        <v>1.4</v>
      </c>
      <c r="IV875" s="6">
        <v>1.4</v>
      </c>
      <c r="IW875" s="6">
        <v>1.4</v>
      </c>
      <c r="IX875" s="6">
        <v>1.4</v>
      </c>
      <c r="IY875" s="6">
        <v>1.4</v>
      </c>
      <c r="IZ875" s="6">
        <v>1.4</v>
      </c>
      <c r="JA875" s="6">
        <v>1.4</v>
      </c>
      <c r="JB875" s="6">
        <v>1.4</v>
      </c>
      <c r="JC875" s="6">
        <v>1.4</v>
      </c>
      <c r="JD875" s="6">
        <v>1.4</v>
      </c>
      <c r="JE875" s="6">
        <v>1.4</v>
      </c>
      <c r="JF875" s="6">
        <v>1.4</v>
      </c>
      <c r="JG875" s="6">
        <v>1.4</v>
      </c>
      <c r="JH875" s="6">
        <v>1.4</v>
      </c>
      <c r="JI875" s="6">
        <v>1.4</v>
      </c>
      <c r="JJ875" s="6">
        <v>1.4</v>
      </c>
      <c r="JK875" s="6">
        <v>1.4</v>
      </c>
      <c r="JL875" s="6">
        <v>1.4</v>
      </c>
      <c r="JM875" s="6">
        <v>1.4</v>
      </c>
      <c r="JN875" s="6">
        <v>1.4</v>
      </c>
      <c r="JO875" s="6">
        <v>1.4</v>
      </c>
      <c r="JP875" s="6">
        <v>1.4</v>
      </c>
      <c r="JQ875" s="6">
        <v>1.4</v>
      </c>
      <c r="JR875" s="6">
        <v>1.4</v>
      </c>
      <c r="JS875" s="6">
        <v>1.4</v>
      </c>
      <c r="JT875" s="6">
        <v>1.4</v>
      </c>
      <c r="JU875" s="6">
        <v>1.4</v>
      </c>
      <c r="JV875" s="6">
        <v>1.4</v>
      </c>
      <c r="JW875" s="6">
        <v>1.4</v>
      </c>
      <c r="JX875" s="6">
        <v>1.4</v>
      </c>
      <c r="JY875" s="6">
        <v>1.4</v>
      </c>
      <c r="JZ875" s="6">
        <v>1.4</v>
      </c>
      <c r="KA875" s="6">
        <v>1.4</v>
      </c>
      <c r="KB875" s="6">
        <v>1.4</v>
      </c>
      <c r="KC875" s="6">
        <v>1.4</v>
      </c>
      <c r="KD875" s="6">
        <v>1.4</v>
      </c>
      <c r="KE875" s="6">
        <v>1.4</v>
      </c>
      <c r="KF875" s="6">
        <v>1.4</v>
      </c>
      <c r="KG875" s="6">
        <v>1.4</v>
      </c>
      <c r="KH875" s="6">
        <v>1.4</v>
      </c>
      <c r="KI875" s="6">
        <v>1.4</v>
      </c>
      <c r="KJ875" s="6">
        <v>1.4</v>
      </c>
      <c r="KK875" s="6">
        <v>1.4</v>
      </c>
      <c r="KL875" s="6">
        <v>1.4</v>
      </c>
      <c r="KM875" s="6">
        <v>1.4</v>
      </c>
      <c r="KN875" s="6">
        <v>1.4</v>
      </c>
      <c r="KO875" s="6">
        <v>1.4</v>
      </c>
      <c r="KP875" s="6">
        <v>1.4</v>
      </c>
      <c r="KQ875" s="6">
        <v>1.4</v>
      </c>
      <c r="KR875" s="6">
        <v>1.4</v>
      </c>
      <c r="KS875" s="6">
        <v>1.4</v>
      </c>
      <c r="KT875" s="6">
        <v>1.4</v>
      </c>
      <c r="KU875" s="6">
        <v>1.4</v>
      </c>
      <c r="KV875" s="6">
        <v>1.4</v>
      </c>
      <c r="KW875" s="6">
        <v>1.4</v>
      </c>
      <c r="KX875" s="6">
        <v>1.4</v>
      </c>
      <c r="KY875" s="6">
        <v>1.4</v>
      </c>
      <c r="KZ875" s="6">
        <v>1.4</v>
      </c>
      <c r="LA875" s="6">
        <v>1.4</v>
      </c>
      <c r="LB875" s="6">
        <v>1.4</v>
      </c>
      <c r="LC875" s="6">
        <v>1.4</v>
      </c>
      <c r="LD875" s="6">
        <v>1.4</v>
      </c>
      <c r="LE875" s="6">
        <v>1.4</v>
      </c>
      <c r="LF875" s="6">
        <v>1.4</v>
      </c>
      <c r="LG875" s="6">
        <v>1.4</v>
      </c>
      <c r="LH875" s="6">
        <v>1.4</v>
      </c>
      <c r="LI875" s="6">
        <v>1.4</v>
      </c>
      <c r="LJ875" s="6">
        <v>1.4</v>
      </c>
      <c r="LK875" s="6">
        <v>1.4</v>
      </c>
      <c r="LL875" s="6">
        <v>1.4</v>
      </c>
      <c r="LM875" s="6">
        <v>1.4</v>
      </c>
      <c r="LN875" s="6">
        <v>1.4</v>
      </c>
      <c r="LO875" s="6">
        <v>1.4</v>
      </c>
      <c r="LP875" s="6">
        <v>1.4</v>
      </c>
      <c r="LQ875" s="6">
        <v>1.4</v>
      </c>
      <c r="LR875" s="6">
        <v>1.4</v>
      </c>
      <c r="LS875" s="6">
        <v>1.4</v>
      </c>
      <c r="LT875" s="6">
        <v>1.4</v>
      </c>
      <c r="LU875" s="6">
        <v>1.4</v>
      </c>
      <c r="LV875" s="6">
        <v>1.4</v>
      </c>
      <c r="LW875" s="6">
        <v>1.4</v>
      </c>
      <c r="LX875" s="6">
        <v>1.4</v>
      </c>
      <c r="LY875" s="6">
        <v>1.4</v>
      </c>
      <c r="LZ875" s="6">
        <v>1.4</v>
      </c>
      <c r="MA875" s="6">
        <v>1.4</v>
      </c>
      <c r="MB875" s="6">
        <v>1.4</v>
      </c>
      <c r="MC875" s="6">
        <v>1.4</v>
      </c>
      <c r="MD875" s="6">
        <v>1.4</v>
      </c>
      <c r="ME875" s="6">
        <v>1.4</v>
      </c>
      <c r="MF875" s="6">
        <v>1.4</v>
      </c>
      <c r="MG875" s="6">
        <v>1.4</v>
      </c>
      <c r="MH875" s="6">
        <v>1.4</v>
      </c>
      <c r="MI875" s="6">
        <v>1.4</v>
      </c>
      <c r="MJ875" s="6">
        <v>1.4</v>
      </c>
      <c r="MK875" s="6">
        <v>1.4</v>
      </c>
      <c r="ML875" s="6">
        <v>1.4</v>
      </c>
      <c r="MM875" s="6">
        <v>1.4</v>
      </c>
      <c r="MN875" s="6">
        <v>1.4</v>
      </c>
      <c r="MO875" s="6">
        <v>1.4</v>
      </c>
      <c r="MP875" s="6">
        <v>1.4</v>
      </c>
      <c r="MQ875" s="6">
        <v>1.4</v>
      </c>
      <c r="MR875" s="6">
        <v>1.4</v>
      </c>
      <c r="MS875" s="6">
        <v>1.4</v>
      </c>
      <c r="MT875" s="6">
        <v>1.4</v>
      </c>
      <c r="MU875" s="6">
        <v>1.4</v>
      </c>
      <c r="MV875" s="6">
        <v>1.4</v>
      </c>
      <c r="MW875" s="6">
        <v>1.4</v>
      </c>
      <c r="MX875" s="6">
        <v>1.4</v>
      </c>
      <c r="MY875" s="6">
        <v>1.4</v>
      </c>
      <c r="MZ875" s="6">
        <v>1.4</v>
      </c>
      <c r="NA875" s="6">
        <v>1.4</v>
      </c>
      <c r="NB875" s="6">
        <v>1.4</v>
      </c>
      <c r="NC875" s="6">
        <v>1.4</v>
      </c>
      <c r="ND875" s="6">
        <v>1.4</v>
      </c>
      <c r="NE875" s="6">
        <v>1.4</v>
      </c>
      <c r="NF875" s="6">
        <v>1.4</v>
      </c>
      <c r="NG875" s="6">
        <v>1.4</v>
      </c>
      <c r="NH875" s="6">
        <v>1.4</v>
      </c>
      <c r="NI875" s="6">
        <v>1.4</v>
      </c>
      <c r="NJ875" s="6">
        <v>1.4</v>
      </c>
      <c r="NK875" s="6">
        <v>1.4</v>
      </c>
      <c r="NL875" s="6">
        <v>1.4</v>
      </c>
      <c r="NM875" s="6">
        <v>1.4</v>
      </c>
      <c r="NN875" s="6">
        <v>1.4</v>
      </c>
      <c r="NO875" s="6">
        <v>1.4</v>
      </c>
      <c r="NP875" s="6">
        <v>1.4</v>
      </c>
      <c r="NQ875" s="6">
        <v>1.4</v>
      </c>
      <c r="NR875" s="6">
        <v>1.4</v>
      </c>
      <c r="NS875" s="6">
        <v>1.4</v>
      </c>
      <c r="NT875" s="6">
        <v>1.4</v>
      </c>
      <c r="NU875" s="6">
        <v>1.4</v>
      </c>
      <c r="NV875" s="6">
        <v>1.4</v>
      </c>
      <c r="NW875" s="6">
        <v>1.4</v>
      </c>
      <c r="NX875" s="6">
        <v>1.4</v>
      </c>
      <c r="NY875" s="6">
        <v>1.4</v>
      </c>
      <c r="NZ875" s="6">
        <v>1.4</v>
      </c>
      <c r="OA875" s="6">
        <v>1.4</v>
      </c>
      <c r="OB875" s="6">
        <v>1.4</v>
      </c>
      <c r="OC875" s="6">
        <v>1.4</v>
      </c>
      <c r="OD875" s="6">
        <v>1.4</v>
      </c>
      <c r="OE875" s="6">
        <v>1.4</v>
      </c>
      <c r="OF875" s="6">
        <v>1.4</v>
      </c>
      <c r="OG875" s="6">
        <v>1.4</v>
      </c>
      <c r="OH875" s="6">
        <v>1.4</v>
      </c>
      <c r="OI875" s="6">
        <v>1.4</v>
      </c>
      <c r="OJ875" s="6">
        <v>1.4</v>
      </c>
      <c r="OK875" s="6">
        <v>1.4</v>
      </c>
      <c r="OL875" s="6">
        <v>1.4</v>
      </c>
      <c r="OM875" s="6">
        <v>1.4</v>
      </c>
      <c r="ON875" s="6">
        <v>1.4</v>
      </c>
      <c r="OO875" s="6">
        <v>1.4</v>
      </c>
      <c r="OP875" s="6">
        <v>1.4</v>
      </c>
      <c r="OQ875" s="6">
        <v>1.4</v>
      </c>
      <c r="OR875" s="6">
        <v>1.4</v>
      </c>
      <c r="OS875" s="6">
        <v>1.4</v>
      </c>
    </row>
    <row r="876" spans="2:409" x14ac:dyDescent="0.3">
      <c r="B876" s="111"/>
      <c r="C876" s="33" t="s">
        <v>511</v>
      </c>
      <c r="D876" s="33"/>
      <c r="E876" s="33"/>
      <c r="F876" s="33"/>
      <c r="G876" s="33"/>
      <c r="H876" s="33"/>
      <c r="I876" s="33"/>
      <c r="J876" s="33"/>
      <c r="K876" s="33"/>
      <c r="L876" s="33"/>
      <c r="M876" s="33"/>
    </row>
    <row r="877" spans="2:409" x14ac:dyDescent="0.3">
      <c r="B877" s="62" t="s">
        <v>226</v>
      </c>
      <c r="C877" s="21" t="s">
        <v>110</v>
      </c>
      <c r="D877" s="21" t="s">
        <v>111</v>
      </c>
      <c r="E877" s="21" t="s">
        <v>112</v>
      </c>
      <c r="F877" s="5" t="s">
        <v>113</v>
      </c>
      <c r="G877" s="5" t="s">
        <v>114</v>
      </c>
      <c r="H877" s="5" t="s">
        <v>115</v>
      </c>
      <c r="I877" s="5" t="s">
        <v>116</v>
      </c>
      <c r="J877" s="5" t="s">
        <v>117</v>
      </c>
      <c r="K877" s="5" t="s">
        <v>121</v>
      </c>
      <c r="L877" s="5" t="s">
        <v>122</v>
      </c>
      <c r="M877" s="5"/>
    </row>
    <row r="878" spans="2:409" x14ac:dyDescent="0.3">
      <c r="B878" s="11" t="s">
        <v>825</v>
      </c>
      <c r="C878" s="6" t="s">
        <v>2728</v>
      </c>
      <c r="D878" s="6" t="s">
        <v>2728</v>
      </c>
      <c r="E878" s="6" t="s">
        <v>2729</v>
      </c>
      <c r="F878" s="5"/>
      <c r="G878" s="5"/>
      <c r="H878" s="5"/>
      <c r="I878" s="5"/>
      <c r="J878" s="5"/>
      <c r="K878" s="5"/>
      <c r="L878" s="5"/>
      <c r="M878" s="5"/>
    </row>
    <row r="879" spans="2:409" x14ac:dyDescent="0.3">
      <c r="B879" s="11" t="s">
        <v>826</v>
      </c>
      <c r="C879" s="6">
        <v>1</v>
      </c>
      <c r="D879" s="6">
        <v>1</v>
      </c>
      <c r="E879" s="6">
        <v>1</v>
      </c>
      <c r="F879" s="5"/>
      <c r="G879" s="5"/>
      <c r="H879" s="5"/>
      <c r="I879" s="5"/>
      <c r="J879" s="5"/>
      <c r="K879" s="5"/>
      <c r="L879" s="5"/>
      <c r="M879" s="5"/>
    </row>
    <row r="880" spans="2:409" x14ac:dyDescent="0.3">
      <c r="B880" s="11" t="s">
        <v>2334</v>
      </c>
      <c r="C880" s="6">
        <v>0</v>
      </c>
      <c r="D880" s="6">
        <v>0</v>
      </c>
      <c r="E880" s="6">
        <v>0</v>
      </c>
      <c r="F880" s="5"/>
      <c r="G880" s="5"/>
      <c r="H880" s="5"/>
      <c r="I880" s="5"/>
      <c r="J880" s="5"/>
      <c r="K880" s="5"/>
      <c r="L880" s="5"/>
      <c r="M880" s="5"/>
    </row>
    <row r="881" spans="1:13" x14ac:dyDescent="0.3">
      <c r="B881" s="11" t="s">
        <v>827</v>
      </c>
      <c r="C881" s="6">
        <v>0</v>
      </c>
      <c r="D881" s="6">
        <v>0</v>
      </c>
      <c r="E881" s="6">
        <v>0</v>
      </c>
      <c r="F881" s="5"/>
      <c r="G881" s="5"/>
      <c r="H881" s="5"/>
      <c r="I881" s="5"/>
      <c r="J881" s="5"/>
      <c r="K881" s="5"/>
      <c r="L881" s="5"/>
      <c r="M881" s="5"/>
    </row>
    <row r="882" spans="1:13" x14ac:dyDescent="0.3">
      <c r="B882" s="11" t="s">
        <v>828</v>
      </c>
      <c r="C882" s="6">
        <v>0</v>
      </c>
      <c r="D882" s="6">
        <v>0</v>
      </c>
      <c r="E882" s="6">
        <v>0</v>
      </c>
      <c r="F882" s="5"/>
      <c r="G882" s="5"/>
      <c r="H882" s="5"/>
      <c r="I882" s="5"/>
      <c r="J882" s="5"/>
      <c r="K882" s="5"/>
      <c r="L882" s="5"/>
      <c r="M882" s="5"/>
    </row>
    <row r="883" spans="1:13" x14ac:dyDescent="0.3">
      <c r="B883" s="11" t="s">
        <v>829</v>
      </c>
      <c r="C883" s="6">
        <v>0</v>
      </c>
      <c r="D883" s="6">
        <v>0</v>
      </c>
      <c r="E883" s="6">
        <v>0</v>
      </c>
      <c r="F883" s="5"/>
      <c r="G883" s="5"/>
      <c r="H883" s="5"/>
      <c r="I883" s="5"/>
      <c r="J883" s="5"/>
      <c r="K883" s="5"/>
      <c r="L883" s="5"/>
      <c r="M883" s="5"/>
    </row>
    <row r="884" spans="1:13" x14ac:dyDescent="0.3">
      <c r="B884" s="11" t="s">
        <v>2333</v>
      </c>
      <c r="C884" s="6">
        <v>1.0269999999999999</v>
      </c>
      <c r="D884" s="6">
        <v>1.0269999999999999</v>
      </c>
      <c r="E884" s="6">
        <v>1.0269999999999999</v>
      </c>
      <c r="F884" s="5"/>
      <c r="G884" s="5"/>
      <c r="H884" s="5"/>
      <c r="I884" s="5"/>
      <c r="J884" s="5"/>
      <c r="K884" s="5"/>
      <c r="L884" s="5"/>
      <c r="M884" s="5"/>
    </row>
    <row r="885" spans="1:13" x14ac:dyDescent="0.3">
      <c r="B885" s="11" t="s">
        <v>2335</v>
      </c>
      <c r="C885" s="6">
        <v>0</v>
      </c>
      <c r="D885" s="6">
        <v>0</v>
      </c>
      <c r="E885" s="6">
        <v>0</v>
      </c>
      <c r="F885" s="5"/>
      <c r="G885" s="5"/>
      <c r="H885" s="5"/>
      <c r="I885" s="5"/>
      <c r="J885" s="5"/>
      <c r="K885" s="5"/>
      <c r="L885" s="5"/>
      <c r="M885" s="5"/>
    </row>
    <row r="886" spans="1:13" x14ac:dyDescent="0.3">
      <c r="B886" s="17"/>
      <c r="C886" s="5" t="s">
        <v>511</v>
      </c>
      <c r="D886" s="4"/>
      <c r="E886" s="5"/>
      <c r="F886" s="5"/>
      <c r="G886" s="5"/>
      <c r="H886" s="5"/>
      <c r="I886" s="5"/>
      <c r="J886" s="5"/>
      <c r="K886" s="5"/>
      <c r="L886" s="5"/>
      <c r="M886" s="5"/>
    </row>
    <row r="887" spans="1:13" x14ac:dyDescent="0.3">
      <c r="B887" s="62" t="s">
        <v>783</v>
      </c>
      <c r="C887" s="21" t="s">
        <v>1199</v>
      </c>
      <c r="D887" s="5"/>
      <c r="E887" s="5"/>
      <c r="F887" s="5"/>
      <c r="G887" s="5"/>
      <c r="H887" s="5"/>
      <c r="I887" s="5"/>
      <c r="J887" s="5"/>
      <c r="K887" s="5"/>
      <c r="L887" s="5"/>
      <c r="M887" s="5"/>
    </row>
    <row r="888" spans="1:13" x14ac:dyDescent="0.3">
      <c r="B888" s="11" t="s">
        <v>289</v>
      </c>
      <c r="C888" s="6" t="s">
        <v>2730</v>
      </c>
      <c r="D888" s="5"/>
      <c r="E888" s="5"/>
      <c r="F888" s="5"/>
      <c r="G888" s="5"/>
      <c r="H888" s="5"/>
      <c r="I888" s="5"/>
      <c r="J888" s="5"/>
      <c r="K888" s="5"/>
      <c r="L888" s="5"/>
      <c r="M888" s="5"/>
    </row>
    <row r="889" spans="1:13" x14ac:dyDescent="0.3">
      <c r="B889" s="11" t="s">
        <v>288</v>
      </c>
      <c r="C889" s="6" t="s">
        <v>2606</v>
      </c>
      <c r="D889" s="5"/>
      <c r="E889" s="5"/>
      <c r="F889" s="5"/>
      <c r="G889" s="5"/>
      <c r="H889" s="5"/>
      <c r="I889" s="5"/>
      <c r="J889" s="5"/>
      <c r="K889" s="5"/>
      <c r="L889" s="5"/>
      <c r="M889" s="5"/>
    </row>
    <row r="890" spans="1:13" x14ac:dyDescent="0.3">
      <c r="B890" s="11" t="s">
        <v>285</v>
      </c>
      <c r="C890" s="6" t="s">
        <v>2631</v>
      </c>
      <c r="D890" s="5"/>
      <c r="E890" s="5"/>
      <c r="F890" s="5"/>
      <c r="G890" s="5"/>
      <c r="H890" s="5"/>
      <c r="I890" s="5"/>
      <c r="J890" s="5"/>
      <c r="K890" s="5"/>
      <c r="L890" s="5"/>
      <c r="M890" s="5"/>
    </row>
    <row r="891" spans="1:13" x14ac:dyDescent="0.3">
      <c r="B891" s="11" t="s">
        <v>286</v>
      </c>
      <c r="C891" s="6" t="s">
        <v>2731</v>
      </c>
      <c r="D891" s="5"/>
      <c r="E891" s="5"/>
      <c r="F891" s="5"/>
      <c r="G891" s="5"/>
      <c r="H891" s="5"/>
      <c r="I891" s="5"/>
      <c r="J891" s="5"/>
      <c r="K891" s="5"/>
      <c r="L891" s="5"/>
      <c r="M891" s="5"/>
    </row>
    <row r="892" spans="1:13" x14ac:dyDescent="0.3">
      <c r="B892" s="11" t="s">
        <v>782</v>
      </c>
      <c r="C892" s="6" t="s">
        <v>2732</v>
      </c>
      <c r="D892" s="5"/>
      <c r="E892" s="5"/>
      <c r="F892" s="5"/>
      <c r="G892" s="5"/>
      <c r="H892" s="5"/>
      <c r="I892" s="5"/>
      <c r="J892" s="5"/>
      <c r="K892" s="5"/>
      <c r="L892" s="5"/>
      <c r="M892" s="5"/>
    </row>
    <row r="893" spans="1:13" x14ac:dyDescent="0.3">
      <c r="B893" s="17"/>
      <c r="C893" s="5" t="s">
        <v>511</v>
      </c>
      <c r="D893" s="5"/>
      <c r="E893" s="5"/>
      <c r="F893" s="5"/>
      <c r="G893" s="5"/>
      <c r="H893" s="5"/>
      <c r="I893" s="5"/>
      <c r="J893" s="5"/>
      <c r="K893" s="5"/>
      <c r="L893" s="5"/>
      <c r="M893" s="5"/>
    </row>
    <row r="894" spans="1:13" x14ac:dyDescent="0.3">
      <c r="B894" s="62" t="s">
        <v>233</v>
      </c>
      <c r="C894" s="21" t="s">
        <v>110</v>
      </c>
      <c r="D894" s="21" t="s">
        <v>111</v>
      </c>
      <c r="E894" s="21" t="s">
        <v>112</v>
      </c>
      <c r="F894" s="5" t="s">
        <v>113</v>
      </c>
      <c r="G894" s="5" t="s">
        <v>114</v>
      </c>
      <c r="H894" s="5" t="s">
        <v>115</v>
      </c>
      <c r="I894" s="5" t="s">
        <v>116</v>
      </c>
      <c r="J894" s="5" t="s">
        <v>117</v>
      </c>
      <c r="K894" s="5" t="s">
        <v>121</v>
      </c>
      <c r="L894" s="5" t="s">
        <v>122</v>
      </c>
      <c r="M894" s="5"/>
    </row>
    <row r="895" spans="1:13" x14ac:dyDescent="0.3">
      <c r="A895" s="26" t="s">
        <v>1274</v>
      </c>
      <c r="B895" s="11" t="s">
        <v>205</v>
      </c>
      <c r="C895" s="6" t="s">
        <v>2735</v>
      </c>
      <c r="D895" s="6" t="s">
        <v>2734</v>
      </c>
      <c r="E895" s="6" t="s">
        <v>2733</v>
      </c>
      <c r="F895" s="5"/>
      <c r="G895" s="5"/>
      <c r="H895" s="5"/>
      <c r="I895" s="5"/>
      <c r="J895" s="5"/>
      <c r="K895" s="5"/>
      <c r="L895" s="5"/>
      <c r="M895" s="5"/>
    </row>
    <row r="896" spans="1:13" x14ac:dyDescent="0.3">
      <c r="B896" s="11" t="s">
        <v>1267</v>
      </c>
      <c r="C896" s="6" t="s">
        <v>2736</v>
      </c>
      <c r="D896" s="6" t="s">
        <v>2737</v>
      </c>
      <c r="E896" s="6" t="s">
        <v>2738</v>
      </c>
      <c r="F896" s="5"/>
      <c r="G896" s="5"/>
      <c r="H896" s="5"/>
      <c r="I896" s="5"/>
      <c r="J896" s="5"/>
      <c r="K896" s="5"/>
      <c r="L896" s="5"/>
      <c r="M896" s="5"/>
    </row>
    <row r="897" spans="1:13" x14ac:dyDescent="0.3">
      <c r="B897" s="11" t="s">
        <v>206</v>
      </c>
      <c r="C897" s="6" t="s">
        <v>2607</v>
      </c>
      <c r="D897" s="6" t="s">
        <v>2632</v>
      </c>
      <c r="E897" s="6" t="s">
        <v>2739</v>
      </c>
      <c r="F897" s="5"/>
      <c r="G897" s="5"/>
      <c r="H897" s="5"/>
      <c r="I897" s="5"/>
      <c r="J897" s="5"/>
      <c r="K897" s="5"/>
      <c r="L897" s="5"/>
      <c r="M897" s="5"/>
    </row>
    <row r="898" spans="1:13" x14ac:dyDescent="0.3">
      <c r="B898" s="11" t="s">
        <v>1817</v>
      </c>
      <c r="C898" s="6" t="s">
        <v>2608</v>
      </c>
      <c r="D898" s="6" t="s">
        <v>2633</v>
      </c>
      <c r="E898" s="6" t="s">
        <v>2740</v>
      </c>
      <c r="F898" s="5"/>
      <c r="G898" s="5"/>
      <c r="H898" s="5"/>
      <c r="I898" s="5"/>
      <c r="J898" s="5"/>
      <c r="K898" s="5"/>
      <c r="L898" s="5"/>
      <c r="M898" s="5"/>
    </row>
    <row r="899" spans="1:13" x14ac:dyDescent="0.3">
      <c r="B899" s="11" t="s">
        <v>207</v>
      </c>
      <c r="C899" s="6" t="s">
        <v>2609</v>
      </c>
      <c r="D899" s="6" t="s">
        <v>2634</v>
      </c>
      <c r="E899" s="6" t="s">
        <v>2741</v>
      </c>
      <c r="F899" s="5"/>
      <c r="G899" s="5"/>
      <c r="H899" s="5"/>
      <c r="I899" s="5"/>
      <c r="J899" s="5"/>
      <c r="K899" s="5"/>
      <c r="L899" s="5"/>
      <c r="M899" s="5"/>
    </row>
    <row r="900" spans="1:13" x14ac:dyDescent="0.3">
      <c r="B900" s="11" t="s">
        <v>208</v>
      </c>
      <c r="C900" s="6" t="s">
        <v>2610</v>
      </c>
      <c r="D900" s="6" t="s">
        <v>2635</v>
      </c>
      <c r="E900" s="6" t="s">
        <v>2742</v>
      </c>
      <c r="F900" s="5"/>
      <c r="G900" s="5"/>
      <c r="H900" s="5"/>
      <c r="I900" s="5"/>
      <c r="J900" s="5"/>
      <c r="K900" s="5"/>
      <c r="L900" s="5"/>
      <c r="M900" s="5"/>
    </row>
    <row r="901" spans="1:13" x14ac:dyDescent="0.3">
      <c r="A901" s="26" t="s">
        <v>1275</v>
      </c>
      <c r="B901" s="11" t="s">
        <v>209</v>
      </c>
      <c r="C901" s="6" t="s">
        <v>2745</v>
      </c>
      <c r="D901" s="6" t="s">
        <v>2744</v>
      </c>
      <c r="E901" s="6" t="s">
        <v>2743</v>
      </c>
      <c r="F901" s="5"/>
      <c r="G901" s="5"/>
      <c r="H901" s="5"/>
      <c r="I901" s="5"/>
      <c r="J901" s="5"/>
      <c r="K901" s="5"/>
      <c r="L901" s="5"/>
      <c r="M901" s="5"/>
    </row>
    <row r="902" spans="1:13" x14ac:dyDescent="0.3">
      <c r="B902" s="11" t="s">
        <v>287</v>
      </c>
      <c r="C902" s="6" t="s">
        <v>2746</v>
      </c>
      <c r="D902" s="6" t="s">
        <v>2747</v>
      </c>
      <c r="E902" s="6" t="s">
        <v>2748</v>
      </c>
      <c r="F902" s="5"/>
      <c r="G902" s="5"/>
      <c r="H902" s="5"/>
      <c r="I902" s="5"/>
      <c r="J902" s="5"/>
      <c r="K902" s="5"/>
      <c r="L902" s="5"/>
      <c r="M902" s="5"/>
    </row>
    <row r="903" spans="1:13" x14ac:dyDescent="0.3">
      <c r="B903" s="11" t="s">
        <v>210</v>
      </c>
      <c r="C903" s="6" t="s">
        <v>2751</v>
      </c>
      <c r="D903" s="6" t="s">
        <v>2750</v>
      </c>
      <c r="E903" s="6" t="s">
        <v>2749</v>
      </c>
      <c r="F903" s="5"/>
      <c r="G903" s="5"/>
      <c r="H903" s="5"/>
      <c r="I903" s="5"/>
      <c r="J903" s="5"/>
      <c r="K903" s="5"/>
      <c r="L903" s="5"/>
      <c r="M903" s="5"/>
    </row>
    <row r="904" spans="1:13" x14ac:dyDescent="0.3">
      <c r="B904" s="11" t="s">
        <v>211</v>
      </c>
      <c r="C904" s="6" t="s">
        <v>2752</v>
      </c>
      <c r="D904" s="6" t="s">
        <v>2753</v>
      </c>
      <c r="E904" s="6" t="s">
        <v>2754</v>
      </c>
      <c r="F904" s="5"/>
      <c r="G904" s="5"/>
      <c r="H904" s="5"/>
      <c r="I904" s="5"/>
      <c r="J904" s="5"/>
      <c r="K904" s="5"/>
      <c r="L904" s="5"/>
      <c r="M904" s="5"/>
    </row>
    <row r="905" spans="1:13" x14ac:dyDescent="0.3">
      <c r="B905" s="11" t="s">
        <v>212</v>
      </c>
      <c r="C905" s="6" t="s">
        <v>2757</v>
      </c>
      <c r="D905" s="6" t="s">
        <v>2756</v>
      </c>
      <c r="E905" s="6" t="s">
        <v>2755</v>
      </c>
      <c r="F905" s="5"/>
      <c r="G905" s="5"/>
      <c r="H905" s="5"/>
      <c r="I905" s="5"/>
      <c r="J905" s="5"/>
      <c r="K905" s="5"/>
      <c r="L905" s="5"/>
      <c r="M905" s="5"/>
    </row>
    <row r="906" spans="1:13" x14ac:dyDescent="0.3">
      <c r="B906" s="17"/>
      <c r="C906" s="5" t="s">
        <v>511</v>
      </c>
      <c r="D906" s="5"/>
      <c r="E906" s="5"/>
      <c r="F906" s="5"/>
      <c r="G906" s="5"/>
      <c r="H906" s="5"/>
      <c r="I906" s="5"/>
      <c r="J906" s="5"/>
      <c r="K906" s="5"/>
      <c r="L906" s="5"/>
      <c r="M906" s="5"/>
    </row>
    <row r="907" spans="1:13" x14ac:dyDescent="0.3">
      <c r="B907" s="62" t="s">
        <v>234</v>
      </c>
      <c r="C907" s="21" t="s">
        <v>29</v>
      </c>
      <c r="D907" s="21" t="s">
        <v>104</v>
      </c>
      <c r="E907" s="21" t="s">
        <v>105</v>
      </c>
      <c r="F907" s="21" t="s">
        <v>106</v>
      </c>
      <c r="G907" s="21" t="s">
        <v>107</v>
      </c>
      <c r="H907" s="21" t="s">
        <v>108</v>
      </c>
      <c r="I907" s="5" t="s">
        <v>109</v>
      </c>
      <c r="J907" s="5" t="s">
        <v>118</v>
      </c>
      <c r="K907" s="5" t="s">
        <v>119</v>
      </c>
      <c r="L907" s="5" t="s">
        <v>120</v>
      </c>
      <c r="M907" s="5"/>
    </row>
    <row r="908" spans="1:13" x14ac:dyDescent="0.3">
      <c r="B908" s="11" t="s">
        <v>222</v>
      </c>
      <c r="C908" s="6" t="s">
        <v>2763</v>
      </c>
      <c r="D908" s="6" t="s">
        <v>2758</v>
      </c>
      <c r="E908" s="6" t="s">
        <v>2762</v>
      </c>
      <c r="F908" s="6" t="s">
        <v>2761</v>
      </c>
      <c r="G908" s="6" t="s">
        <v>2760</v>
      </c>
      <c r="H908" s="6" t="s">
        <v>2759</v>
      </c>
      <c r="I908" s="5"/>
      <c r="J908" s="5"/>
      <c r="K908" s="5"/>
      <c r="L908" s="5"/>
      <c r="M908" s="5"/>
    </row>
    <row r="909" spans="1:13" x14ac:dyDescent="0.3">
      <c r="B909" s="11" t="s">
        <v>223</v>
      </c>
      <c r="C909" s="6" t="s">
        <v>2764</v>
      </c>
      <c r="D909" s="6" t="s">
        <v>2766</v>
      </c>
      <c r="E909" s="6" t="s">
        <v>2767</v>
      </c>
      <c r="F909" s="6" t="s">
        <v>2768</v>
      </c>
      <c r="G909" s="6" t="s">
        <v>2769</v>
      </c>
      <c r="H909" s="6" t="s">
        <v>2770</v>
      </c>
      <c r="I909" s="5"/>
      <c r="J909" s="5"/>
      <c r="K909" s="5"/>
      <c r="L909" s="5"/>
      <c r="M909" s="5"/>
    </row>
    <row r="910" spans="1:13" x14ac:dyDescent="0.3">
      <c r="B910" s="11" t="s">
        <v>224</v>
      </c>
      <c r="C910" s="6" t="s">
        <v>2765</v>
      </c>
      <c r="D910" s="6" t="s">
        <v>2775</v>
      </c>
      <c r="E910" s="6" t="s">
        <v>2774</v>
      </c>
      <c r="F910" s="6" t="s">
        <v>2773</v>
      </c>
      <c r="G910" s="6" t="s">
        <v>2772</v>
      </c>
      <c r="H910" s="6" t="s">
        <v>2771</v>
      </c>
      <c r="I910" s="5"/>
      <c r="J910" s="5"/>
      <c r="K910" s="5"/>
      <c r="L910" s="5"/>
      <c r="M910" s="5"/>
    </row>
    <row r="911" spans="1:13" x14ac:dyDescent="0.3">
      <c r="B911" s="11" t="s">
        <v>225</v>
      </c>
      <c r="C911" s="6" t="s">
        <v>2776</v>
      </c>
      <c r="D911" s="6" t="s">
        <v>2781</v>
      </c>
      <c r="E911" s="6" t="s">
        <v>2780</v>
      </c>
      <c r="F911" s="6" t="s">
        <v>2779</v>
      </c>
      <c r="G911" s="6" t="s">
        <v>2778</v>
      </c>
      <c r="H911" s="6" t="s">
        <v>2777</v>
      </c>
      <c r="I911" s="5"/>
      <c r="J911" s="5"/>
      <c r="K911" s="5"/>
      <c r="L911" s="5"/>
      <c r="M911" s="5"/>
    </row>
    <row r="912" spans="1:13" x14ac:dyDescent="0.3">
      <c r="B912" s="11" t="s">
        <v>574</v>
      </c>
      <c r="C912" s="6" t="s">
        <v>2782</v>
      </c>
      <c r="D912" s="6" t="s">
        <v>2785</v>
      </c>
      <c r="E912" s="6" t="s">
        <v>2784</v>
      </c>
      <c r="F912" s="6" t="s">
        <v>2848</v>
      </c>
      <c r="G912" s="6" t="s">
        <v>2783</v>
      </c>
      <c r="H912" s="6" t="s">
        <v>2848</v>
      </c>
      <c r="I912" s="5"/>
      <c r="J912" s="5"/>
      <c r="K912" s="5"/>
      <c r="L912" s="5"/>
      <c r="M912" s="5"/>
    </row>
    <row r="913" spans="1:13" x14ac:dyDescent="0.3">
      <c r="B913" s="11" t="s">
        <v>575</v>
      </c>
      <c r="C913" s="6" t="s">
        <v>2786</v>
      </c>
      <c r="D913" s="6" t="s">
        <v>2787</v>
      </c>
      <c r="E913" s="6" t="s">
        <v>2788</v>
      </c>
      <c r="F913" s="6" t="s">
        <v>2848</v>
      </c>
      <c r="G913" s="6" t="s">
        <v>2789</v>
      </c>
      <c r="H913" s="6" t="s">
        <v>2848</v>
      </c>
      <c r="I913" s="5"/>
      <c r="J913" s="5"/>
      <c r="K913" s="5"/>
      <c r="L913" s="5"/>
      <c r="M913" s="5"/>
    </row>
    <row r="914" spans="1:13" x14ac:dyDescent="0.3">
      <c r="B914" s="11" t="s">
        <v>576</v>
      </c>
      <c r="C914" s="6" t="s">
        <v>2790</v>
      </c>
      <c r="D914" s="6" t="s">
        <v>2791</v>
      </c>
      <c r="E914" s="6" t="s">
        <v>2792</v>
      </c>
      <c r="F914" s="6" t="s">
        <v>2848</v>
      </c>
      <c r="G914" s="6" t="s">
        <v>2793</v>
      </c>
      <c r="H914" s="6" t="s">
        <v>2848</v>
      </c>
      <c r="I914" s="5"/>
      <c r="J914" s="5"/>
      <c r="K914" s="5"/>
      <c r="L914" s="5"/>
      <c r="M914" s="5"/>
    </row>
    <row r="915" spans="1:13" x14ac:dyDescent="0.3">
      <c r="B915" s="11" t="s">
        <v>577</v>
      </c>
      <c r="C915" s="6" t="s">
        <v>2794</v>
      </c>
      <c r="D915" s="6" t="s">
        <v>2799</v>
      </c>
      <c r="E915" s="6" t="s">
        <v>2798</v>
      </c>
      <c r="F915" s="6" t="s">
        <v>2797</v>
      </c>
      <c r="G915" s="6" t="s">
        <v>2796</v>
      </c>
      <c r="H915" s="6" t="s">
        <v>2795</v>
      </c>
      <c r="I915" s="5"/>
      <c r="J915" s="5"/>
      <c r="K915" s="5"/>
      <c r="L915" s="5"/>
      <c r="M915" s="5"/>
    </row>
    <row r="916" spans="1:13" x14ac:dyDescent="0.3">
      <c r="B916" s="11" t="s">
        <v>578</v>
      </c>
      <c r="C916" s="6" t="s">
        <v>2800</v>
      </c>
      <c r="D916" s="6" t="s">
        <v>2805</v>
      </c>
      <c r="E916" s="6" t="s">
        <v>2804</v>
      </c>
      <c r="F916" s="6" t="s">
        <v>2803</v>
      </c>
      <c r="G916" s="6" t="s">
        <v>2802</v>
      </c>
      <c r="H916" s="6" t="s">
        <v>2801</v>
      </c>
      <c r="I916" s="5"/>
      <c r="J916" s="5"/>
      <c r="K916" s="5"/>
      <c r="L916" s="5"/>
      <c r="M916" s="5"/>
    </row>
    <row r="917" spans="1:13" x14ac:dyDescent="0.3">
      <c r="B917" s="11" t="s">
        <v>579</v>
      </c>
      <c r="C917" s="6" t="s">
        <v>2806</v>
      </c>
      <c r="D917" s="6" t="s">
        <v>2811</v>
      </c>
      <c r="E917" s="6" t="s">
        <v>2810</v>
      </c>
      <c r="F917" s="6" t="s">
        <v>2809</v>
      </c>
      <c r="G917" s="6" t="s">
        <v>2808</v>
      </c>
      <c r="H917" s="6" t="s">
        <v>2807</v>
      </c>
      <c r="I917" s="5"/>
      <c r="J917" s="5"/>
      <c r="K917" s="5"/>
      <c r="L917" s="5"/>
      <c r="M917" s="5"/>
    </row>
    <row r="918" spans="1:13" x14ac:dyDescent="0.3">
      <c r="B918" s="11" t="s">
        <v>580</v>
      </c>
      <c r="C918" s="6" t="s">
        <v>2812</v>
      </c>
      <c r="D918" s="6" t="s">
        <v>2813</v>
      </c>
      <c r="E918" s="6" t="s">
        <v>2814</v>
      </c>
      <c r="F918" s="6" t="s">
        <v>2815</v>
      </c>
      <c r="G918" s="6" t="s">
        <v>2816</v>
      </c>
      <c r="H918" s="6" t="s">
        <v>2817</v>
      </c>
      <c r="I918" s="5"/>
      <c r="J918" s="5"/>
      <c r="K918" s="5"/>
      <c r="L918" s="5"/>
      <c r="M918" s="5"/>
    </row>
    <row r="919" spans="1:13" x14ac:dyDescent="0.3">
      <c r="B919" s="11" t="s">
        <v>581</v>
      </c>
      <c r="C919" s="6" t="s">
        <v>2818</v>
      </c>
      <c r="D919" s="6" t="s">
        <v>2819</v>
      </c>
      <c r="E919" s="6" t="s">
        <v>2820</v>
      </c>
      <c r="F919" s="6" t="s">
        <v>2821</v>
      </c>
      <c r="G919" s="6" t="s">
        <v>2822</v>
      </c>
      <c r="H919" s="6" t="s">
        <v>2823</v>
      </c>
      <c r="I919" s="5"/>
      <c r="J919" s="5"/>
      <c r="K919" s="5"/>
      <c r="L919" s="5"/>
      <c r="M919" s="5"/>
    </row>
    <row r="920" spans="1:13" x14ac:dyDescent="0.3">
      <c r="B920" s="11" t="s">
        <v>582</v>
      </c>
      <c r="C920" s="6" t="s">
        <v>2824</v>
      </c>
      <c r="D920" s="6" t="s">
        <v>2825</v>
      </c>
      <c r="E920" s="6" t="s">
        <v>2826</v>
      </c>
      <c r="F920" s="6" t="s">
        <v>2827</v>
      </c>
      <c r="G920" s="6" t="s">
        <v>2828</v>
      </c>
      <c r="H920" s="6" t="s">
        <v>2829</v>
      </c>
      <c r="I920" s="5"/>
      <c r="J920" s="5"/>
      <c r="K920" s="5"/>
      <c r="L920" s="5"/>
      <c r="M920" s="5"/>
    </row>
    <row r="921" spans="1:13" x14ac:dyDescent="0.3">
      <c r="B921" s="11" t="s">
        <v>583</v>
      </c>
      <c r="C921" s="6" t="s">
        <v>2830</v>
      </c>
      <c r="D921" s="6" t="s">
        <v>2833</v>
      </c>
      <c r="E921" s="6" t="s">
        <v>2836</v>
      </c>
      <c r="F921" s="6" t="s">
        <v>2839</v>
      </c>
      <c r="G921" s="6" t="s">
        <v>2842</v>
      </c>
      <c r="H921" s="6" t="s">
        <v>2845</v>
      </c>
      <c r="I921" s="5"/>
      <c r="J921" s="5"/>
      <c r="K921" s="5"/>
      <c r="L921" s="5"/>
      <c r="M921" s="5"/>
    </row>
    <row r="922" spans="1:13" x14ac:dyDescent="0.3">
      <c r="B922" s="11" t="s">
        <v>1268</v>
      </c>
      <c r="C922" s="6" t="s">
        <v>2831</v>
      </c>
      <c r="D922" s="6" t="s">
        <v>2834</v>
      </c>
      <c r="E922" s="6" t="s">
        <v>2837</v>
      </c>
      <c r="F922" s="6" t="s">
        <v>2840</v>
      </c>
      <c r="G922" s="6" t="s">
        <v>2843</v>
      </c>
      <c r="H922" s="6" t="s">
        <v>2846</v>
      </c>
      <c r="I922" s="5"/>
      <c r="J922" s="5"/>
      <c r="K922" s="5"/>
      <c r="L922" s="5"/>
      <c r="M922" s="5"/>
    </row>
    <row r="923" spans="1:13" x14ac:dyDescent="0.3">
      <c r="B923" s="11" t="s">
        <v>584</v>
      </c>
      <c r="C923" s="6" t="s">
        <v>2832</v>
      </c>
      <c r="D923" s="6" t="s">
        <v>2835</v>
      </c>
      <c r="E923" s="6" t="s">
        <v>2838</v>
      </c>
      <c r="F923" s="6" t="s">
        <v>2841</v>
      </c>
      <c r="G923" s="6" t="s">
        <v>2844</v>
      </c>
      <c r="H923" s="6" t="s">
        <v>2847</v>
      </c>
      <c r="I923" s="5"/>
      <c r="J923" s="5"/>
      <c r="K923" s="5"/>
      <c r="L923" s="5"/>
      <c r="M923" s="5"/>
    </row>
    <row r="924" spans="1:13" x14ac:dyDescent="0.3">
      <c r="B924" s="29"/>
      <c r="C924" s="5"/>
      <c r="D924" s="5"/>
      <c r="E924" s="5"/>
      <c r="F924" s="5"/>
      <c r="G924" s="5"/>
      <c r="H924" s="5"/>
      <c r="I924" s="5"/>
      <c r="J924" s="5"/>
      <c r="K924" s="5"/>
      <c r="L924" s="5"/>
      <c r="M924" s="5"/>
    </row>
    <row r="925" spans="1:13" x14ac:dyDescent="0.3">
      <c r="A925" s="25" t="s">
        <v>2596</v>
      </c>
      <c r="B925" s="11" t="s">
        <v>2612</v>
      </c>
      <c r="C925" s="6" t="s">
        <v>2611</v>
      </c>
      <c r="D925" s="5"/>
      <c r="E925" s="5"/>
      <c r="F925" s="5"/>
      <c r="G925" s="5"/>
      <c r="H925" s="5"/>
      <c r="I925" s="5"/>
      <c r="J925" s="5"/>
      <c r="K925" s="5"/>
      <c r="L925" s="5"/>
      <c r="M925" s="5"/>
    </row>
    <row r="926" spans="1:13" x14ac:dyDescent="0.3">
      <c r="B926" s="29" t="s">
        <v>660</v>
      </c>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workbookViewId="0">
      <selection activeCell="C3" sqref="C3"/>
    </sheetView>
  </sheetViews>
  <sheetFormatPr defaultRowHeight="14.4" x14ac:dyDescent="0.3"/>
  <cols>
    <col min="1" max="1" width="18.33203125" customWidth="1"/>
    <col min="2" max="2" width="17.109375" customWidth="1"/>
  </cols>
  <sheetData>
    <row r="1" spans="1:33" x14ac:dyDescent="0.3">
      <c r="A1" t="s">
        <v>1606</v>
      </c>
      <c r="C1" t="s">
        <v>355</v>
      </c>
      <c r="H1" s="3" t="s">
        <v>356</v>
      </c>
      <c r="I1" t="s">
        <v>1805</v>
      </c>
    </row>
    <row r="2" spans="1:33" x14ac:dyDescent="0.3">
      <c r="B2" s="17" t="s">
        <v>784</v>
      </c>
      <c r="C2" s="9" t="s">
        <v>53</v>
      </c>
      <c r="D2" s="6" t="s">
        <v>787</v>
      </c>
      <c r="H2">
        <v>1</v>
      </c>
      <c r="I2" t="s">
        <v>377</v>
      </c>
      <c r="AD2" t="s">
        <v>1773</v>
      </c>
      <c r="AF2" t="s">
        <v>1774</v>
      </c>
    </row>
    <row r="3" spans="1:33" x14ac:dyDescent="0.3">
      <c r="B3" s="17"/>
      <c r="C3" s="9" t="s">
        <v>54</v>
      </c>
      <c r="D3" s="6" t="s">
        <v>789</v>
      </c>
      <c r="H3">
        <v>2</v>
      </c>
      <c r="I3" t="s">
        <v>1807</v>
      </c>
      <c r="S3" t="s">
        <v>1603</v>
      </c>
      <c r="AC3">
        <v>1</v>
      </c>
      <c r="AD3" t="s">
        <v>1700</v>
      </c>
      <c r="AF3" s="6" t="s">
        <v>1120</v>
      </c>
      <c r="AG3">
        <v>1</v>
      </c>
    </row>
    <row r="4" spans="1:33" x14ac:dyDescent="0.3">
      <c r="B4" s="17"/>
      <c r="C4" s="9" t="s">
        <v>55</v>
      </c>
      <c r="D4" s="6" t="s">
        <v>791</v>
      </c>
      <c r="H4">
        <v>3</v>
      </c>
      <c r="I4" t="s">
        <v>1806</v>
      </c>
      <c r="S4" t="s">
        <v>1604</v>
      </c>
      <c r="AC4">
        <v>2</v>
      </c>
      <c r="AD4" t="s">
        <v>1701</v>
      </c>
      <c r="AF4" s="6" t="s">
        <v>1121</v>
      </c>
      <c r="AG4">
        <v>2</v>
      </c>
    </row>
    <row r="5" spans="1:33" x14ac:dyDescent="0.3">
      <c r="B5" s="17"/>
      <c r="C5" s="9" t="s">
        <v>56</v>
      </c>
      <c r="D5" s="6" t="s">
        <v>792</v>
      </c>
      <c r="H5">
        <v>4</v>
      </c>
      <c r="I5" t="s">
        <v>1569</v>
      </c>
      <c r="S5" t="s">
        <v>1605</v>
      </c>
      <c r="AC5">
        <v>3</v>
      </c>
      <c r="AD5" t="s">
        <v>1702</v>
      </c>
      <c r="AF5" s="6" t="s">
        <v>1122</v>
      </c>
      <c r="AG5">
        <v>3</v>
      </c>
    </row>
    <row r="6" spans="1:33" x14ac:dyDescent="0.3">
      <c r="B6" s="17"/>
      <c r="C6" s="9" t="s">
        <v>59</v>
      </c>
      <c r="D6" s="6" t="s">
        <v>793</v>
      </c>
      <c r="H6">
        <v>5</v>
      </c>
      <c r="I6" t="s">
        <v>1570</v>
      </c>
      <c r="AC6">
        <v>4</v>
      </c>
      <c r="AD6" t="s">
        <v>1703</v>
      </c>
      <c r="AF6" s="6" t="s">
        <v>1123</v>
      </c>
      <c r="AG6">
        <v>4</v>
      </c>
    </row>
    <row r="7" spans="1:33" x14ac:dyDescent="0.3">
      <c r="B7" s="17"/>
      <c r="C7" s="9" t="s">
        <v>1580</v>
      </c>
      <c r="D7" s="6" t="s">
        <v>793</v>
      </c>
      <c r="H7">
        <v>6</v>
      </c>
      <c r="I7" t="s">
        <v>1571</v>
      </c>
      <c r="AC7">
        <v>5</v>
      </c>
      <c r="AD7" t="s">
        <v>1704</v>
      </c>
      <c r="AF7" s="6" t="s">
        <v>1124</v>
      </c>
      <c r="AG7">
        <v>5</v>
      </c>
    </row>
    <row r="8" spans="1:33" x14ac:dyDescent="0.3">
      <c r="B8" s="17" t="s">
        <v>784</v>
      </c>
      <c r="C8" s="9" t="s">
        <v>1581</v>
      </c>
      <c r="D8" s="6" t="s">
        <v>788</v>
      </c>
      <c r="H8">
        <v>7</v>
      </c>
      <c r="I8" t="s">
        <v>1572</v>
      </c>
      <c r="AC8">
        <v>6</v>
      </c>
      <c r="AD8" t="s">
        <v>1705</v>
      </c>
      <c r="AF8" s="6" t="s">
        <v>1125</v>
      </c>
      <c r="AG8">
        <v>6</v>
      </c>
    </row>
    <row r="9" spans="1:33" x14ac:dyDescent="0.3">
      <c r="B9" s="17" t="s">
        <v>784</v>
      </c>
      <c r="C9" s="9" t="s">
        <v>1582</v>
      </c>
      <c r="D9" s="6" t="s">
        <v>790</v>
      </c>
      <c r="H9">
        <v>8</v>
      </c>
      <c r="I9" t="s">
        <v>1573</v>
      </c>
      <c r="AC9">
        <v>7</v>
      </c>
      <c r="AD9" t="s">
        <v>1706</v>
      </c>
      <c r="AF9" s="6" t="s">
        <v>1126</v>
      </c>
      <c r="AG9">
        <v>7</v>
      </c>
    </row>
    <row r="10" spans="1:33" x14ac:dyDescent="0.3">
      <c r="B10" s="17" t="s">
        <v>784</v>
      </c>
      <c r="C10" s="5" t="s">
        <v>1583</v>
      </c>
      <c r="D10" s="1" t="s">
        <v>1584</v>
      </c>
      <c r="H10">
        <v>9</v>
      </c>
      <c r="I10" t="s">
        <v>1574</v>
      </c>
      <c r="AC10">
        <v>8</v>
      </c>
      <c r="AD10" t="s">
        <v>1707</v>
      </c>
      <c r="AF10" s="6" t="s">
        <v>1127</v>
      </c>
      <c r="AG10">
        <v>8</v>
      </c>
    </row>
    <row r="11" spans="1:33" x14ac:dyDescent="0.3">
      <c r="B11" s="17" t="s">
        <v>784</v>
      </c>
      <c r="C11" s="5" t="s">
        <v>1585</v>
      </c>
      <c r="D11" s="1" t="s">
        <v>1586</v>
      </c>
      <c r="H11">
        <v>10</v>
      </c>
      <c r="I11" t="s">
        <v>1575</v>
      </c>
      <c r="AC11">
        <v>9</v>
      </c>
      <c r="AD11" t="s">
        <v>1708</v>
      </c>
      <c r="AF11" s="35" t="s">
        <v>1128</v>
      </c>
      <c r="AG11">
        <v>9</v>
      </c>
    </row>
    <row r="12" spans="1:33" x14ac:dyDescent="0.3">
      <c r="B12" s="17" t="s">
        <v>784</v>
      </c>
      <c r="C12" s="5" t="s">
        <v>1558</v>
      </c>
      <c r="D12" s="1" t="s">
        <v>1587</v>
      </c>
      <c r="H12">
        <v>11</v>
      </c>
      <c r="I12" t="s">
        <v>1576</v>
      </c>
      <c r="AC12">
        <v>10</v>
      </c>
      <c r="AD12" t="s">
        <v>1709</v>
      </c>
      <c r="AF12" s="6" t="s">
        <v>1129</v>
      </c>
      <c r="AG12">
        <v>10</v>
      </c>
    </row>
    <row r="13" spans="1:33" x14ac:dyDescent="0.3">
      <c r="B13" s="17" t="s">
        <v>784</v>
      </c>
      <c r="C13" s="5" t="s">
        <v>1559</v>
      </c>
      <c r="D13" s="1" t="s">
        <v>1588</v>
      </c>
      <c r="H13">
        <v>12</v>
      </c>
      <c r="I13" t="s">
        <v>1577</v>
      </c>
      <c r="AC13">
        <v>11</v>
      </c>
      <c r="AD13" t="s">
        <v>1710</v>
      </c>
      <c r="AF13" s="6" t="s">
        <v>1130</v>
      </c>
      <c r="AG13">
        <v>11</v>
      </c>
    </row>
    <row r="14" spans="1:33" x14ac:dyDescent="0.3">
      <c r="B14" s="17" t="s">
        <v>784</v>
      </c>
      <c r="C14" s="5" t="s">
        <v>1589</v>
      </c>
      <c r="D14" s="1" t="s">
        <v>1590</v>
      </c>
      <c r="H14">
        <v>13</v>
      </c>
      <c r="I14" t="s">
        <v>1578</v>
      </c>
      <c r="AC14">
        <v>12</v>
      </c>
      <c r="AD14" t="s">
        <v>1711</v>
      </c>
      <c r="AF14" s="6" t="s">
        <v>1131</v>
      </c>
      <c r="AG14">
        <v>12</v>
      </c>
    </row>
    <row r="15" spans="1:33" x14ac:dyDescent="0.3">
      <c r="B15" s="17" t="s">
        <v>784</v>
      </c>
      <c r="C15" s="5" t="s">
        <v>1591</v>
      </c>
      <c r="D15" s="1" t="s">
        <v>1592</v>
      </c>
      <c r="H15">
        <v>14</v>
      </c>
      <c r="I15" t="s">
        <v>1579</v>
      </c>
      <c r="AC15">
        <v>13</v>
      </c>
      <c r="AD15" t="s">
        <v>1712</v>
      </c>
      <c r="AF15" s="6" t="s">
        <v>1132</v>
      </c>
      <c r="AG15">
        <v>13</v>
      </c>
    </row>
    <row r="16" spans="1:33" x14ac:dyDescent="0.3">
      <c r="B16" s="17" t="s">
        <v>784</v>
      </c>
      <c r="C16" s="5" t="s">
        <v>1593</v>
      </c>
      <c r="D16" s="1" t="s">
        <v>1594</v>
      </c>
      <c r="H16">
        <v>15</v>
      </c>
      <c r="I16" t="s">
        <v>378</v>
      </c>
      <c r="AC16">
        <v>14</v>
      </c>
      <c r="AD16" t="s">
        <v>1713</v>
      </c>
      <c r="AF16" s="6" t="s">
        <v>1133</v>
      </c>
      <c r="AG16">
        <v>14</v>
      </c>
    </row>
    <row r="17" spans="2:33" x14ac:dyDescent="0.3">
      <c r="B17" s="17" t="s">
        <v>784</v>
      </c>
      <c r="C17" s="5" t="s">
        <v>1595</v>
      </c>
      <c r="D17" s="1" t="s">
        <v>1596</v>
      </c>
      <c r="H17">
        <v>16</v>
      </c>
      <c r="I17" t="s">
        <v>379</v>
      </c>
      <c r="AC17">
        <v>15</v>
      </c>
      <c r="AD17" t="s">
        <v>1714</v>
      </c>
      <c r="AF17" s="6" t="s">
        <v>1134</v>
      </c>
      <c r="AG17">
        <v>15</v>
      </c>
    </row>
    <row r="18" spans="2:33" x14ac:dyDescent="0.3">
      <c r="B18" s="17" t="s">
        <v>784</v>
      </c>
      <c r="C18" s="5" t="s">
        <v>1597</v>
      </c>
      <c r="D18" s="1" t="s">
        <v>1598</v>
      </c>
      <c r="H18">
        <v>17</v>
      </c>
      <c r="I18" t="s">
        <v>380</v>
      </c>
      <c r="AC18">
        <v>16</v>
      </c>
      <c r="AD18" t="s">
        <v>1715</v>
      </c>
      <c r="AF18" s="6" t="s">
        <v>1135</v>
      </c>
      <c r="AG18">
        <v>16</v>
      </c>
    </row>
    <row r="19" spans="2:33" x14ac:dyDescent="0.3">
      <c r="B19" s="17" t="s">
        <v>784</v>
      </c>
      <c r="C19" s="9" t="s">
        <v>60</v>
      </c>
      <c r="D19" s="6" t="s">
        <v>794</v>
      </c>
      <c r="H19">
        <v>18</v>
      </c>
      <c r="I19" t="s">
        <v>357</v>
      </c>
      <c r="AC19">
        <v>17</v>
      </c>
      <c r="AD19" t="s">
        <v>1716</v>
      </c>
      <c r="AF19" s="6" t="s">
        <v>1136</v>
      </c>
      <c r="AG19">
        <v>17</v>
      </c>
    </row>
    <row r="20" spans="2:33" x14ac:dyDescent="0.3">
      <c r="B20" s="17" t="s">
        <v>784</v>
      </c>
      <c r="C20" s="9" t="s">
        <v>61</v>
      </c>
      <c r="D20" s="6" t="s">
        <v>795</v>
      </c>
      <c r="H20">
        <v>19</v>
      </c>
      <c r="I20" t="s">
        <v>358</v>
      </c>
      <c r="AC20">
        <v>18</v>
      </c>
      <c r="AD20" t="s">
        <v>1717</v>
      </c>
      <c r="AF20" s="6" t="s">
        <v>1137</v>
      </c>
      <c r="AG20">
        <v>18</v>
      </c>
    </row>
    <row r="21" spans="2:33" x14ac:dyDescent="0.3">
      <c r="B21" s="17" t="s">
        <v>784</v>
      </c>
      <c r="C21" s="9" t="s">
        <v>62</v>
      </c>
      <c r="D21" s="6" t="s">
        <v>796</v>
      </c>
      <c r="H21">
        <v>20</v>
      </c>
      <c r="I21" t="s">
        <v>359</v>
      </c>
      <c r="AC21">
        <v>19</v>
      </c>
      <c r="AD21" t="s">
        <v>1718</v>
      </c>
      <c r="AF21" s="6" t="s">
        <v>1138</v>
      </c>
      <c r="AG21">
        <v>19</v>
      </c>
    </row>
    <row r="22" spans="2:33" x14ac:dyDescent="0.3">
      <c r="B22" s="17" t="s">
        <v>784</v>
      </c>
      <c r="C22" s="9" t="s">
        <v>63</v>
      </c>
      <c r="D22" s="6" t="s">
        <v>797</v>
      </c>
      <c r="H22">
        <v>21</v>
      </c>
      <c r="I22" t="s">
        <v>360</v>
      </c>
      <c r="AC22">
        <v>20</v>
      </c>
      <c r="AD22" t="s">
        <v>1719</v>
      </c>
      <c r="AF22" s="6" t="s">
        <v>1139</v>
      </c>
      <c r="AG22">
        <v>20</v>
      </c>
    </row>
    <row r="23" spans="2:33" x14ac:dyDescent="0.3">
      <c r="B23" s="17" t="s">
        <v>784</v>
      </c>
      <c r="C23" s="9" t="s">
        <v>64</v>
      </c>
      <c r="D23" s="6" t="s">
        <v>798</v>
      </c>
      <c r="H23">
        <v>22</v>
      </c>
      <c r="I23" t="s">
        <v>361</v>
      </c>
      <c r="AC23">
        <v>21</v>
      </c>
      <c r="AD23" t="s">
        <v>1720</v>
      </c>
      <c r="AF23" s="6" t="s">
        <v>1140</v>
      </c>
      <c r="AG23">
        <v>21</v>
      </c>
    </row>
    <row r="24" spans="2:33" x14ac:dyDescent="0.3">
      <c r="B24" s="17" t="s">
        <v>784</v>
      </c>
      <c r="C24" s="9" t="s">
        <v>65</v>
      </c>
      <c r="D24" s="6" t="s">
        <v>799</v>
      </c>
      <c r="H24">
        <v>23</v>
      </c>
      <c r="I24" t="s">
        <v>362</v>
      </c>
      <c r="AC24">
        <v>22</v>
      </c>
      <c r="AD24" t="s">
        <v>1721</v>
      </c>
      <c r="AF24" s="6" t="s">
        <v>1141</v>
      </c>
      <c r="AG24">
        <v>22</v>
      </c>
    </row>
    <row r="25" spans="2:33" x14ac:dyDescent="0.3">
      <c r="B25" s="17" t="s">
        <v>784</v>
      </c>
      <c r="C25" s="9" t="s">
        <v>66</v>
      </c>
      <c r="D25" s="6" t="s">
        <v>800</v>
      </c>
      <c r="H25">
        <v>24</v>
      </c>
      <c r="I25" t="s">
        <v>381</v>
      </c>
      <c r="AC25">
        <v>23</v>
      </c>
      <c r="AD25" t="s">
        <v>1722</v>
      </c>
      <c r="AF25" s="6" t="s">
        <v>1142</v>
      </c>
      <c r="AG25">
        <v>23</v>
      </c>
    </row>
    <row r="26" spans="2:33" x14ac:dyDescent="0.3">
      <c r="B26" s="17" t="s">
        <v>784</v>
      </c>
      <c r="C26" s="9" t="s">
        <v>67</v>
      </c>
      <c r="D26" s="6" t="s">
        <v>801</v>
      </c>
      <c r="H26">
        <v>25</v>
      </c>
      <c r="I26" t="s">
        <v>363</v>
      </c>
      <c r="AC26">
        <v>24</v>
      </c>
      <c r="AD26" t="s">
        <v>1723</v>
      </c>
      <c r="AF26" s="6" t="s">
        <v>1143</v>
      </c>
      <c r="AG26">
        <v>24</v>
      </c>
    </row>
    <row r="27" spans="2:33" x14ac:dyDescent="0.3">
      <c r="B27" s="17" t="s">
        <v>784</v>
      </c>
      <c r="C27" s="9" t="s">
        <v>68</v>
      </c>
      <c r="D27" s="6" t="s">
        <v>802</v>
      </c>
      <c r="H27">
        <v>26</v>
      </c>
      <c r="I27" t="s">
        <v>364</v>
      </c>
      <c r="AC27">
        <v>25</v>
      </c>
      <c r="AD27" t="s">
        <v>1724</v>
      </c>
      <c r="AF27" s="6" t="s">
        <v>1144</v>
      </c>
      <c r="AG27">
        <v>25</v>
      </c>
    </row>
    <row r="28" spans="2:33" x14ac:dyDescent="0.3">
      <c r="B28" s="17"/>
      <c r="C28" s="9" t="s">
        <v>69</v>
      </c>
      <c r="D28" s="6" t="s">
        <v>803</v>
      </c>
      <c r="H28">
        <v>27</v>
      </c>
      <c r="I28" t="s">
        <v>365</v>
      </c>
      <c r="AC28">
        <v>26</v>
      </c>
      <c r="AD28" t="s">
        <v>1725</v>
      </c>
      <c r="AF28" s="6" t="s">
        <v>1145</v>
      </c>
      <c r="AG28">
        <v>26</v>
      </c>
    </row>
    <row r="29" spans="2:33" x14ac:dyDescent="0.3">
      <c r="B29" s="17"/>
      <c r="C29" s="9" t="s">
        <v>70</v>
      </c>
      <c r="D29" s="6" t="s">
        <v>804</v>
      </c>
      <c r="H29">
        <v>28</v>
      </c>
      <c r="I29" t="s">
        <v>366</v>
      </c>
      <c r="AC29">
        <v>27</v>
      </c>
      <c r="AD29" t="s">
        <v>1726</v>
      </c>
      <c r="AF29" s="6" t="s">
        <v>1532</v>
      </c>
      <c r="AG29">
        <v>27</v>
      </c>
    </row>
    <row r="30" spans="2:33" x14ac:dyDescent="0.3">
      <c r="B30" s="17"/>
      <c r="C30" s="9" t="s">
        <v>79</v>
      </c>
      <c r="D30" s="6" t="s">
        <v>823</v>
      </c>
      <c r="H30">
        <v>29</v>
      </c>
      <c r="I30" t="s">
        <v>367</v>
      </c>
      <c r="AC30">
        <v>28</v>
      </c>
      <c r="AD30" t="s">
        <v>1727</v>
      </c>
      <c r="AF30" s="6" t="s">
        <v>1146</v>
      </c>
      <c r="AG30">
        <v>28</v>
      </c>
    </row>
    <row r="31" spans="2:33" x14ac:dyDescent="0.3">
      <c r="B31" s="17"/>
      <c r="C31" s="9" t="s">
        <v>80</v>
      </c>
      <c r="D31" s="6" t="s">
        <v>822</v>
      </c>
      <c r="H31">
        <v>30</v>
      </c>
      <c r="I31" t="s">
        <v>382</v>
      </c>
      <c r="AC31">
        <v>29</v>
      </c>
      <c r="AD31" t="s">
        <v>1728</v>
      </c>
      <c r="AF31" s="6" t="s">
        <v>1147</v>
      </c>
      <c r="AG31">
        <v>29</v>
      </c>
    </row>
    <row r="32" spans="2:33" x14ac:dyDescent="0.3">
      <c r="B32" s="17"/>
      <c r="C32" s="9" t="s">
        <v>81</v>
      </c>
      <c r="D32" s="6" t="s">
        <v>821</v>
      </c>
      <c r="H32">
        <v>31</v>
      </c>
      <c r="I32" t="s">
        <v>368</v>
      </c>
      <c r="AC32">
        <v>30</v>
      </c>
      <c r="AD32" t="s">
        <v>1729</v>
      </c>
      <c r="AF32" s="6" t="s">
        <v>1148</v>
      </c>
      <c r="AG32">
        <v>30</v>
      </c>
    </row>
    <row r="33" spans="2:33" x14ac:dyDescent="0.3">
      <c r="B33" s="17"/>
      <c r="C33" s="9" t="s">
        <v>82</v>
      </c>
      <c r="D33" s="6" t="s">
        <v>820</v>
      </c>
      <c r="H33">
        <v>32</v>
      </c>
      <c r="I33" t="s">
        <v>369</v>
      </c>
      <c r="AC33">
        <v>31</v>
      </c>
      <c r="AD33" t="s">
        <v>1730</v>
      </c>
      <c r="AF33" s="6" t="s">
        <v>1149</v>
      </c>
      <c r="AG33">
        <v>31</v>
      </c>
    </row>
    <row r="34" spans="2:33" x14ac:dyDescent="0.3">
      <c r="B34" s="17"/>
      <c r="C34" s="9" t="s">
        <v>83</v>
      </c>
      <c r="D34" s="6" t="s">
        <v>805</v>
      </c>
      <c r="H34">
        <v>33</v>
      </c>
      <c r="I34" t="s">
        <v>370</v>
      </c>
      <c r="AC34">
        <v>32</v>
      </c>
      <c r="AD34" t="s">
        <v>1731</v>
      </c>
      <c r="AF34" s="6" t="s">
        <v>1150</v>
      </c>
      <c r="AG34">
        <v>32</v>
      </c>
    </row>
    <row r="35" spans="2:33" x14ac:dyDescent="0.3">
      <c r="B35" s="17"/>
      <c r="C35" s="9" t="s">
        <v>84</v>
      </c>
      <c r="D35" s="6" t="s">
        <v>806</v>
      </c>
      <c r="H35">
        <v>34</v>
      </c>
      <c r="I35" t="s">
        <v>371</v>
      </c>
      <c r="AC35">
        <v>33</v>
      </c>
      <c r="AD35" t="s">
        <v>1732</v>
      </c>
      <c r="AF35" s="6" t="s">
        <v>1151</v>
      </c>
      <c r="AG35">
        <v>33</v>
      </c>
    </row>
    <row r="36" spans="2:33" x14ac:dyDescent="0.3">
      <c r="B36" s="17"/>
      <c r="C36" s="9" t="s">
        <v>85</v>
      </c>
      <c r="D36" s="6" t="s">
        <v>807</v>
      </c>
      <c r="H36">
        <v>35</v>
      </c>
      <c r="I36" t="s">
        <v>372</v>
      </c>
      <c r="AC36">
        <v>34</v>
      </c>
      <c r="AD36" t="s">
        <v>1733</v>
      </c>
      <c r="AF36" s="6" t="s">
        <v>1152</v>
      </c>
      <c r="AG36">
        <v>34</v>
      </c>
    </row>
    <row r="37" spans="2:33" x14ac:dyDescent="0.3">
      <c r="B37" s="17" t="s">
        <v>784</v>
      </c>
      <c r="C37" s="9" t="s">
        <v>86</v>
      </c>
      <c r="D37" s="6" t="s">
        <v>808</v>
      </c>
      <c r="H37">
        <v>36</v>
      </c>
      <c r="I37" t="s">
        <v>373</v>
      </c>
      <c r="AC37">
        <v>35</v>
      </c>
      <c r="AD37" t="s">
        <v>1734</v>
      </c>
      <c r="AF37" s="35" t="s">
        <v>1153</v>
      </c>
      <c r="AG37">
        <v>35</v>
      </c>
    </row>
    <row r="38" spans="2:33" x14ac:dyDescent="0.3">
      <c r="B38" s="17" t="s">
        <v>784</v>
      </c>
      <c r="C38" s="9" t="s">
        <v>87</v>
      </c>
      <c r="D38" s="6" t="s">
        <v>809</v>
      </c>
      <c r="H38">
        <v>37</v>
      </c>
      <c r="I38" t="s">
        <v>374</v>
      </c>
      <c r="AC38">
        <v>36</v>
      </c>
      <c r="AD38" t="s">
        <v>1735</v>
      </c>
      <c r="AF38" s="6" t="s">
        <v>1154</v>
      </c>
      <c r="AG38">
        <v>36</v>
      </c>
    </row>
    <row r="39" spans="2:33" x14ac:dyDescent="0.3">
      <c r="B39" s="17" t="s">
        <v>784</v>
      </c>
      <c r="C39" s="9" t="s">
        <v>88</v>
      </c>
      <c r="D39" s="6" t="s">
        <v>810</v>
      </c>
      <c r="H39">
        <v>38</v>
      </c>
      <c r="I39" t="s">
        <v>375</v>
      </c>
      <c r="AC39">
        <v>37</v>
      </c>
      <c r="AD39" t="s">
        <v>1736</v>
      </c>
      <c r="AF39" s="6" t="s">
        <v>1155</v>
      </c>
      <c r="AG39">
        <v>37</v>
      </c>
    </row>
    <row r="40" spans="2:33" x14ac:dyDescent="0.3">
      <c r="B40" s="17"/>
      <c r="C40" s="9" t="s">
        <v>89</v>
      </c>
      <c r="D40" s="6" t="s">
        <v>811</v>
      </c>
      <c r="H40">
        <v>39</v>
      </c>
      <c r="I40" t="s">
        <v>376</v>
      </c>
      <c r="AC40">
        <v>38</v>
      </c>
      <c r="AD40" t="s">
        <v>1737</v>
      </c>
      <c r="AF40" s="6" t="s">
        <v>1156</v>
      </c>
      <c r="AG40">
        <v>38</v>
      </c>
    </row>
    <row r="41" spans="2:33" x14ac:dyDescent="0.3">
      <c r="B41" s="17" t="s">
        <v>784</v>
      </c>
      <c r="C41" s="9" t="s">
        <v>90</v>
      </c>
      <c r="D41" s="6" t="s">
        <v>812</v>
      </c>
      <c r="H41">
        <v>40</v>
      </c>
      <c r="I41" s="8" t="s">
        <v>2366</v>
      </c>
      <c r="AC41">
        <v>39</v>
      </c>
      <c r="AD41" t="s">
        <v>1738</v>
      </c>
      <c r="AF41" s="6" t="s">
        <v>1157</v>
      </c>
      <c r="AG41">
        <v>39</v>
      </c>
    </row>
    <row r="42" spans="2:33" x14ac:dyDescent="0.3">
      <c r="B42" s="17" t="s">
        <v>784</v>
      </c>
      <c r="C42" s="9" t="s">
        <v>91</v>
      </c>
      <c r="D42" s="6" t="s">
        <v>813</v>
      </c>
      <c r="H42">
        <v>41</v>
      </c>
      <c r="I42" s="8" t="s">
        <v>2367</v>
      </c>
      <c r="AC42">
        <v>40</v>
      </c>
      <c r="AD42" t="s">
        <v>1739</v>
      </c>
      <c r="AF42" s="6" t="s">
        <v>1158</v>
      </c>
      <c r="AG42">
        <v>40</v>
      </c>
    </row>
    <row r="43" spans="2:33" x14ac:dyDescent="0.3">
      <c r="B43" s="17" t="s">
        <v>784</v>
      </c>
      <c r="C43" s="9" t="s">
        <v>92</v>
      </c>
      <c r="D43" s="6" t="s">
        <v>814</v>
      </c>
      <c r="H43">
        <v>42</v>
      </c>
      <c r="I43" s="8" t="s">
        <v>2460</v>
      </c>
      <c r="AC43">
        <v>41</v>
      </c>
      <c r="AD43" t="s">
        <v>1740</v>
      </c>
      <c r="AF43" s="6" t="s">
        <v>1159</v>
      </c>
      <c r="AG43">
        <v>41</v>
      </c>
    </row>
    <row r="44" spans="2:33" x14ac:dyDescent="0.3">
      <c r="B44" s="17" t="s">
        <v>784</v>
      </c>
      <c r="C44" s="9" t="s">
        <v>93</v>
      </c>
      <c r="D44" s="6" t="s">
        <v>815</v>
      </c>
      <c r="H44">
        <v>43</v>
      </c>
      <c r="I44" s="8" t="s">
        <v>2368</v>
      </c>
      <c r="AC44">
        <v>42</v>
      </c>
      <c r="AD44" t="s">
        <v>1741</v>
      </c>
      <c r="AF44" s="6" t="s">
        <v>1160</v>
      </c>
      <c r="AG44">
        <v>42</v>
      </c>
    </row>
    <row r="45" spans="2:33" x14ac:dyDescent="0.3">
      <c r="B45" s="17" t="s">
        <v>784</v>
      </c>
      <c r="C45" s="9" t="s">
        <v>94</v>
      </c>
      <c r="D45" s="6" t="s">
        <v>816</v>
      </c>
      <c r="AC45">
        <v>43</v>
      </c>
      <c r="AD45" t="s">
        <v>1742</v>
      </c>
      <c r="AF45" s="6" t="s">
        <v>1161</v>
      </c>
      <c r="AG45">
        <v>43</v>
      </c>
    </row>
    <row r="46" spans="2:33" x14ac:dyDescent="0.3">
      <c r="B46" s="17" t="s">
        <v>784</v>
      </c>
      <c r="C46" s="9" t="s">
        <v>95</v>
      </c>
      <c r="D46" s="6" t="s">
        <v>817</v>
      </c>
      <c r="AC46">
        <v>44</v>
      </c>
      <c r="AD46" t="s">
        <v>1743</v>
      </c>
      <c r="AF46" s="6" t="s">
        <v>1162</v>
      </c>
      <c r="AG46">
        <v>44</v>
      </c>
    </row>
    <row r="47" spans="2:33" x14ac:dyDescent="0.3">
      <c r="B47" s="17" t="s">
        <v>784</v>
      </c>
      <c r="C47" s="5" t="s">
        <v>96</v>
      </c>
      <c r="D47" s="6" t="s">
        <v>818</v>
      </c>
      <c r="AC47">
        <v>45</v>
      </c>
      <c r="AD47" t="s">
        <v>1744</v>
      </c>
      <c r="AF47" s="6" t="s">
        <v>1163</v>
      </c>
      <c r="AG47">
        <v>45</v>
      </c>
    </row>
    <row r="48" spans="2:33" x14ac:dyDescent="0.3">
      <c r="B48" s="17" t="s">
        <v>784</v>
      </c>
      <c r="C48" s="5" t="s">
        <v>97</v>
      </c>
      <c r="D48" s="6" t="s">
        <v>819</v>
      </c>
      <c r="AC48">
        <v>46</v>
      </c>
      <c r="AD48" t="s">
        <v>1745</v>
      </c>
      <c r="AF48" s="6" t="s">
        <v>1164</v>
      </c>
      <c r="AG48">
        <v>46</v>
      </c>
    </row>
    <row r="49" spans="1:33" x14ac:dyDescent="0.3">
      <c r="B49" s="18" t="s">
        <v>784</v>
      </c>
      <c r="C49" s="88" t="s">
        <v>1685</v>
      </c>
      <c r="D49" s="1" t="s">
        <v>2363</v>
      </c>
      <c r="AC49">
        <v>47</v>
      </c>
      <c r="AD49" t="s">
        <v>1746</v>
      </c>
      <c r="AF49" s="6" t="s">
        <v>1165</v>
      </c>
      <c r="AG49">
        <v>47</v>
      </c>
    </row>
    <row r="50" spans="1:33" x14ac:dyDescent="0.3">
      <c r="B50" s="18" t="s">
        <v>784</v>
      </c>
      <c r="C50" s="88" t="s">
        <v>1686</v>
      </c>
      <c r="D50" s="1" t="s">
        <v>2458</v>
      </c>
      <c r="AC50">
        <v>48</v>
      </c>
      <c r="AD50" t="s">
        <v>1747</v>
      </c>
      <c r="AF50" s="6" t="s">
        <v>1166</v>
      </c>
      <c r="AG50">
        <v>48</v>
      </c>
    </row>
    <row r="51" spans="1:33" x14ac:dyDescent="0.3">
      <c r="B51" s="18" t="s">
        <v>784</v>
      </c>
      <c r="C51" s="88" t="s">
        <v>1687</v>
      </c>
      <c r="D51" s="1" t="s">
        <v>2459</v>
      </c>
      <c r="H51" t="s">
        <v>1673</v>
      </c>
      <c r="AC51">
        <v>49</v>
      </c>
      <c r="AD51" t="s">
        <v>1748</v>
      </c>
      <c r="AF51" s="6" t="s">
        <v>1167</v>
      </c>
      <c r="AG51">
        <v>49</v>
      </c>
    </row>
    <row r="52" spans="1:33" x14ac:dyDescent="0.3">
      <c r="B52" s="18" t="s">
        <v>784</v>
      </c>
      <c r="C52" s="88" t="s">
        <v>1688</v>
      </c>
      <c r="D52" s="1" t="s">
        <v>2364</v>
      </c>
      <c r="H52" s="66" t="s">
        <v>1672</v>
      </c>
      <c r="AC52">
        <v>50</v>
      </c>
      <c r="AD52" t="s">
        <v>1749</v>
      </c>
      <c r="AF52" s="6" t="s">
        <v>1168</v>
      </c>
      <c r="AG52">
        <v>50</v>
      </c>
    </row>
    <row r="53" spans="1:33" x14ac:dyDescent="0.3">
      <c r="AC53">
        <v>51</v>
      </c>
      <c r="AD53" t="s">
        <v>1750</v>
      </c>
      <c r="AF53" s="6" t="s">
        <v>1169</v>
      </c>
      <c r="AG53">
        <v>51</v>
      </c>
    </row>
    <row r="54" spans="1:33" x14ac:dyDescent="0.3">
      <c r="AC54">
        <v>52</v>
      </c>
      <c r="AD54" t="s">
        <v>1751</v>
      </c>
      <c r="AF54" s="6" t="s">
        <v>1170</v>
      </c>
      <c r="AG54">
        <v>52</v>
      </c>
    </row>
    <row r="55" spans="1:33" x14ac:dyDescent="0.3">
      <c r="AC55">
        <v>53</v>
      </c>
      <c r="AD55" t="s">
        <v>1752</v>
      </c>
      <c r="AF55" s="6" t="s">
        <v>1171</v>
      </c>
      <c r="AG55">
        <v>53</v>
      </c>
    </row>
    <row r="56" spans="1:33" x14ac:dyDescent="0.3">
      <c r="A56" s="3" t="s">
        <v>824</v>
      </c>
      <c r="B56" s="29">
        <f>COUNTIF(B2:B52,"Required")</f>
        <v>36</v>
      </c>
      <c r="C56" s="8"/>
      <c r="AC56">
        <v>54</v>
      </c>
      <c r="AD56" t="s">
        <v>1753</v>
      </c>
      <c r="AF56" s="6" t="s">
        <v>1172</v>
      </c>
      <c r="AG56">
        <v>54</v>
      </c>
    </row>
    <row r="57" spans="1:33" x14ac:dyDescent="0.3">
      <c r="AC57">
        <v>55</v>
      </c>
      <c r="AD57" t="s">
        <v>1754</v>
      </c>
      <c r="AF57" s="6" t="s">
        <v>1173</v>
      </c>
      <c r="AG57">
        <v>55</v>
      </c>
    </row>
    <row r="58" spans="1:33" x14ac:dyDescent="0.3">
      <c r="AC58">
        <v>56</v>
      </c>
      <c r="AD58" t="s">
        <v>1755</v>
      </c>
      <c r="AF58" s="6" t="s">
        <v>1174</v>
      </c>
      <c r="AG58">
        <v>56</v>
      </c>
    </row>
    <row r="59" spans="1:33" x14ac:dyDescent="0.3">
      <c r="AC59">
        <v>57</v>
      </c>
      <c r="AD59" t="s">
        <v>1756</v>
      </c>
      <c r="AF59" s="6" t="s">
        <v>1175</v>
      </c>
      <c r="AG59">
        <v>57</v>
      </c>
    </row>
    <row r="60" spans="1:33" x14ac:dyDescent="0.3">
      <c r="B60" s="63" t="s">
        <v>1607</v>
      </c>
      <c r="F60" s="5" t="s">
        <v>8</v>
      </c>
      <c r="G60" s="5" t="s">
        <v>9</v>
      </c>
      <c r="H60" s="5" t="s">
        <v>10</v>
      </c>
      <c r="AC60">
        <v>58</v>
      </c>
      <c r="AD60" t="s">
        <v>1757</v>
      </c>
      <c r="AF60" s="6" t="s">
        <v>1176</v>
      </c>
      <c r="AG60">
        <v>58</v>
      </c>
    </row>
    <row r="61" spans="1:33" x14ac:dyDescent="0.3">
      <c r="B61" s="5"/>
      <c r="C61" s="6"/>
      <c r="F61" s="8"/>
      <c r="G61" s="8"/>
      <c r="H61" s="8"/>
      <c r="AC61">
        <v>59</v>
      </c>
      <c r="AD61" t="s">
        <v>1758</v>
      </c>
      <c r="AF61" s="6" t="s">
        <v>1177</v>
      </c>
      <c r="AG61">
        <v>59</v>
      </c>
    </row>
    <row r="62" spans="1:33" x14ac:dyDescent="0.3">
      <c r="B62" s="30" t="s">
        <v>1006</v>
      </c>
      <c r="AC62">
        <v>60</v>
      </c>
      <c r="AD62" t="s">
        <v>1759</v>
      </c>
      <c r="AF62" s="6" t="s">
        <v>1178</v>
      </c>
      <c r="AG62">
        <v>60</v>
      </c>
    </row>
    <row r="63" spans="1:33" x14ac:dyDescent="0.3">
      <c r="AC63">
        <v>61</v>
      </c>
      <c r="AD63" t="s">
        <v>1760</v>
      </c>
      <c r="AF63" s="6" t="s">
        <v>1179</v>
      </c>
      <c r="AG63">
        <v>61</v>
      </c>
    </row>
    <row r="64" spans="1:33" x14ac:dyDescent="0.3">
      <c r="B64" s="21" t="s">
        <v>4</v>
      </c>
      <c r="C64" s="5" t="s">
        <v>5</v>
      </c>
      <c r="D64" s="5" t="s">
        <v>6</v>
      </c>
      <c r="E64" s="105" t="s">
        <v>7</v>
      </c>
      <c r="F64" s="5" t="s">
        <v>8</v>
      </c>
      <c r="G64" s="105" t="s">
        <v>9</v>
      </c>
      <c r="H64" s="5" t="s">
        <v>10</v>
      </c>
      <c r="AC64">
        <v>62</v>
      </c>
      <c r="AD64" t="s">
        <v>1761</v>
      </c>
      <c r="AF64" s="6" t="s">
        <v>1180</v>
      </c>
      <c r="AG64">
        <v>62</v>
      </c>
    </row>
    <row r="65" spans="2:33" x14ac:dyDescent="0.3">
      <c r="B65" s="8">
        <f>w2_con.csv!C22</f>
        <v>30</v>
      </c>
      <c r="C65" s="8">
        <f>w2_con.csv!D22</f>
        <v>0</v>
      </c>
      <c r="D65" s="8">
        <f>w2_con.csv!E22</f>
        <v>0</v>
      </c>
      <c r="E65" s="8">
        <f>w2_con.csv!F22</f>
        <v>0</v>
      </c>
      <c r="F65" s="8">
        <f>w2_con.csv!G22</f>
        <v>0</v>
      </c>
      <c r="G65" s="8">
        <f>w2_con.csv!H22</f>
        <v>0</v>
      </c>
      <c r="H65" s="8">
        <f>w2_con.csv!I22</f>
        <v>0</v>
      </c>
      <c r="AC65">
        <v>63</v>
      </c>
      <c r="AD65" t="s">
        <v>1762</v>
      </c>
      <c r="AF65" s="6" t="s">
        <v>1181</v>
      </c>
      <c r="AG65">
        <v>63</v>
      </c>
    </row>
    <row r="66" spans="2:33" x14ac:dyDescent="0.3">
      <c r="E66" s="106" t="s">
        <v>2365</v>
      </c>
      <c r="G66" s="106" t="s">
        <v>2365</v>
      </c>
      <c r="AC66">
        <v>64</v>
      </c>
      <c r="AD66" t="s">
        <v>1763</v>
      </c>
      <c r="AF66" s="6" t="s">
        <v>1182</v>
      </c>
      <c r="AG66">
        <v>64</v>
      </c>
    </row>
    <row r="67" spans="2:33" x14ac:dyDescent="0.3">
      <c r="B67" t="s">
        <v>1007</v>
      </c>
      <c r="AC67">
        <v>65</v>
      </c>
      <c r="AD67" t="s">
        <v>1764</v>
      </c>
      <c r="AF67" s="6" t="s">
        <v>1183</v>
      </c>
      <c r="AG67">
        <v>65</v>
      </c>
    </row>
    <row r="68" spans="2:33" x14ac:dyDescent="0.3">
      <c r="B68" s="31">
        <f>B56+w2_con.csv!C22+w2_con.csv!D22+w2_con.csv!NAL+3*w2_con.csv!G22+w2_con.csv!NZP</f>
        <v>66</v>
      </c>
      <c r="AC68">
        <v>66</v>
      </c>
      <c r="AD68" t="s">
        <v>1765</v>
      </c>
      <c r="AF68" s="6" t="s">
        <v>1184</v>
      </c>
      <c r="AG68">
        <v>66</v>
      </c>
    </row>
    <row r="69" spans="2:33" x14ac:dyDescent="0.3">
      <c r="AC69">
        <v>67</v>
      </c>
      <c r="AD69" t="s">
        <v>1766</v>
      </c>
      <c r="AF69" s="6" t="s">
        <v>1185</v>
      </c>
      <c r="AG69">
        <v>67</v>
      </c>
    </row>
    <row r="70" spans="2:33" x14ac:dyDescent="0.3">
      <c r="AC70">
        <v>68</v>
      </c>
      <c r="AD70" t="s">
        <v>1767</v>
      </c>
      <c r="AF70" s="6" t="s">
        <v>1186</v>
      </c>
      <c r="AG70">
        <v>68</v>
      </c>
    </row>
    <row r="71" spans="2:33" x14ac:dyDescent="0.3">
      <c r="AC71">
        <v>69</v>
      </c>
      <c r="AD71" t="s">
        <v>1768</v>
      </c>
      <c r="AF71" s="6" t="s">
        <v>1187</v>
      </c>
      <c r="AG71">
        <v>69</v>
      </c>
    </row>
    <row r="72" spans="2:33" x14ac:dyDescent="0.3">
      <c r="AC72">
        <v>70</v>
      </c>
      <c r="AD72" t="s">
        <v>1769</v>
      </c>
      <c r="AF72" s="6" t="s">
        <v>1188</v>
      </c>
      <c r="AG72">
        <v>70</v>
      </c>
    </row>
    <row r="73" spans="2:33" x14ac:dyDescent="0.3">
      <c r="AC73">
        <v>71</v>
      </c>
      <c r="AD73" t="s">
        <v>1770</v>
      </c>
      <c r="AF73" s="6" t="s">
        <v>1189</v>
      </c>
      <c r="AG73">
        <v>71</v>
      </c>
    </row>
    <row r="74" spans="2:33" x14ac:dyDescent="0.3">
      <c r="AC74">
        <v>72</v>
      </c>
      <c r="AD74" t="s">
        <v>1771</v>
      </c>
      <c r="AF74" s="6" t="s">
        <v>1190</v>
      </c>
      <c r="AG74">
        <v>72</v>
      </c>
    </row>
    <row r="75" spans="2:33" x14ac:dyDescent="0.3">
      <c r="AC75">
        <v>73</v>
      </c>
      <c r="AD75" t="s">
        <v>1772</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4" x14ac:dyDescent="0.3"/>
  <cols>
    <col min="1" max="1" width="41.5546875" customWidth="1"/>
    <col min="2" max="2" width="15.5546875" customWidth="1"/>
    <col min="3" max="3" width="10.33203125" customWidth="1"/>
  </cols>
  <sheetData>
    <row r="1" spans="1:14" x14ac:dyDescent="0.3">
      <c r="A1" s="15" t="s">
        <v>1304</v>
      </c>
      <c r="B1" s="15"/>
      <c r="C1" s="15"/>
      <c r="D1" s="15"/>
      <c r="E1" s="15"/>
      <c r="F1" s="15"/>
      <c r="G1" s="40"/>
      <c r="H1" s="40"/>
      <c r="I1" s="40"/>
    </row>
    <row r="2" spans="1:14" x14ac:dyDescent="0.3">
      <c r="A2" s="15" t="s">
        <v>1308</v>
      </c>
      <c r="B2" s="15" t="s">
        <v>1309</v>
      </c>
      <c r="C2" s="60" t="s">
        <v>2407</v>
      </c>
      <c r="D2" s="15"/>
      <c r="E2" s="15"/>
      <c r="F2" s="15"/>
      <c r="G2" s="40"/>
      <c r="H2" s="40"/>
      <c r="I2" s="40"/>
    </row>
    <row r="3" spans="1:14" x14ac:dyDescent="0.3">
      <c r="A3" s="6">
        <v>9</v>
      </c>
      <c r="B3" s="6" t="s">
        <v>1310</v>
      </c>
      <c r="C3" s="60" t="s">
        <v>2</v>
      </c>
      <c r="D3" s="15"/>
      <c r="E3" s="15"/>
      <c r="F3" s="15"/>
      <c r="G3" s="40"/>
      <c r="H3" s="40"/>
      <c r="I3" s="40"/>
      <c r="N3" t="s">
        <v>1673</v>
      </c>
    </row>
    <row r="4" spans="1:14" x14ac:dyDescent="0.3">
      <c r="A4" s="15" t="s">
        <v>1311</v>
      </c>
      <c r="B4" s="15" t="s">
        <v>1312</v>
      </c>
      <c r="C4" s="15" t="s">
        <v>1313</v>
      </c>
      <c r="D4" s="15" t="s">
        <v>1314</v>
      </c>
      <c r="E4" s="15"/>
      <c r="F4" s="15"/>
      <c r="G4" s="40"/>
      <c r="H4" s="40"/>
      <c r="I4" s="40"/>
      <c r="N4" s="66" t="s">
        <v>1672</v>
      </c>
    </row>
    <row r="5" spans="1:14" x14ac:dyDescent="0.3">
      <c r="A5" s="15" t="s">
        <v>1315</v>
      </c>
      <c r="B5" s="6">
        <v>0</v>
      </c>
      <c r="C5" s="6">
        <v>18</v>
      </c>
      <c r="D5" s="6">
        <v>5</v>
      </c>
      <c r="E5" s="15"/>
      <c r="F5" s="15"/>
      <c r="G5" s="40"/>
      <c r="H5" s="40"/>
      <c r="I5" s="40"/>
    </row>
    <row r="6" spans="1:14" x14ac:dyDescent="0.3">
      <c r="A6" s="15" t="s">
        <v>1316</v>
      </c>
      <c r="B6" s="6">
        <v>10</v>
      </c>
      <c r="C6" s="6">
        <v>24</v>
      </c>
      <c r="D6" s="6">
        <v>5</v>
      </c>
      <c r="E6" s="15"/>
      <c r="F6" s="15"/>
      <c r="G6" s="40"/>
      <c r="H6" s="40"/>
      <c r="I6" s="40"/>
    </row>
    <row r="7" spans="1:14" x14ac:dyDescent="0.3">
      <c r="A7" s="15" t="s">
        <v>1317</v>
      </c>
      <c r="B7" s="6">
        <v>12</v>
      </c>
      <c r="C7" s="6">
        <v>24</v>
      </c>
      <c r="D7" s="6">
        <v>5</v>
      </c>
      <c r="E7" s="15"/>
      <c r="F7" s="15"/>
      <c r="G7" s="40"/>
      <c r="H7" s="40"/>
      <c r="I7" s="40"/>
    </row>
    <row r="8" spans="1:14" x14ac:dyDescent="0.3">
      <c r="A8" s="15" t="s">
        <v>1318</v>
      </c>
      <c r="B8" s="6">
        <v>0</v>
      </c>
      <c r="C8" s="6">
        <v>28</v>
      </c>
      <c r="D8" s="6">
        <v>3</v>
      </c>
      <c r="E8" s="15"/>
      <c r="F8" s="15"/>
      <c r="G8" s="40"/>
      <c r="H8" s="40"/>
      <c r="I8" s="40"/>
    </row>
    <row r="9" spans="1:14" x14ac:dyDescent="0.3">
      <c r="A9" s="15" t="s">
        <v>1319</v>
      </c>
      <c r="B9" s="6">
        <v>0</v>
      </c>
      <c r="C9" s="6">
        <v>29</v>
      </c>
      <c r="D9" s="6">
        <v>4</v>
      </c>
      <c r="E9" s="15"/>
      <c r="F9" s="15"/>
      <c r="G9" s="40"/>
      <c r="H9" s="40"/>
      <c r="I9" s="40"/>
    </row>
    <row r="10" spans="1:14" x14ac:dyDescent="0.3">
      <c r="A10" s="15" t="s">
        <v>1320</v>
      </c>
      <c r="B10" s="6">
        <v>0</v>
      </c>
      <c r="C10" s="6">
        <v>24.4</v>
      </c>
      <c r="D10" s="6">
        <v>6</v>
      </c>
      <c r="E10" s="15"/>
      <c r="F10" s="15"/>
      <c r="G10" s="40"/>
      <c r="H10" s="40"/>
      <c r="I10" s="40"/>
    </row>
    <row r="11" spans="1:14" x14ac:dyDescent="0.3">
      <c r="A11" s="15" t="s">
        <v>1321</v>
      </c>
      <c r="B11" s="6">
        <v>10</v>
      </c>
      <c r="C11" s="6">
        <v>26.7</v>
      </c>
      <c r="D11" s="6">
        <v>6</v>
      </c>
      <c r="E11" s="15"/>
      <c r="F11" s="15"/>
      <c r="G11" s="40"/>
      <c r="H11" s="40"/>
      <c r="I11" s="40"/>
    </row>
    <row r="12" spans="1:14" x14ac:dyDescent="0.3">
      <c r="A12" s="15" t="s">
        <v>1322</v>
      </c>
      <c r="B12" s="6">
        <v>10</v>
      </c>
      <c r="C12" s="6">
        <v>30</v>
      </c>
      <c r="D12" s="6">
        <v>5</v>
      </c>
      <c r="E12" s="15"/>
      <c r="F12" s="15"/>
      <c r="G12" s="40"/>
      <c r="H12" s="40"/>
      <c r="I12" s="40"/>
    </row>
    <row r="13" spans="1:14" x14ac:dyDescent="0.3">
      <c r="A13" s="15" t="s">
        <v>1323</v>
      </c>
      <c r="B13" s="6">
        <v>18</v>
      </c>
      <c r="C13" s="6">
        <v>31</v>
      </c>
      <c r="D13" s="6">
        <v>5</v>
      </c>
      <c r="E13" s="15"/>
      <c r="F13" s="15"/>
      <c r="G13" s="40"/>
      <c r="H13" s="40"/>
      <c r="I13" s="40"/>
    </row>
    <row r="14" spans="1:14" x14ac:dyDescent="0.3">
      <c r="A14" s="15" t="s">
        <v>1324</v>
      </c>
      <c r="B14" s="15" t="s">
        <v>1325</v>
      </c>
      <c r="C14" s="15"/>
      <c r="D14" s="15"/>
      <c r="E14" s="15"/>
      <c r="F14" s="15"/>
      <c r="G14" s="40"/>
      <c r="H14" s="40"/>
      <c r="I14" s="40"/>
    </row>
    <row r="15" spans="1:14" x14ac:dyDescent="0.3">
      <c r="A15" s="6">
        <v>3</v>
      </c>
      <c r="B15" s="6" t="s">
        <v>1326</v>
      </c>
      <c r="C15" s="15"/>
      <c r="D15" s="15"/>
      <c r="E15" s="15"/>
      <c r="F15" s="15"/>
      <c r="G15" s="40"/>
      <c r="H15" s="40"/>
      <c r="I15" s="40"/>
    </row>
    <row r="16" spans="1:14" x14ac:dyDescent="0.3">
      <c r="A16" s="15" t="s">
        <v>1305</v>
      </c>
      <c r="B16" s="15"/>
      <c r="C16" s="15"/>
      <c r="D16" s="15"/>
      <c r="E16" s="15"/>
      <c r="F16" s="15"/>
      <c r="G16" s="40"/>
      <c r="H16" s="40"/>
      <c r="I16" s="40"/>
    </row>
    <row r="17" spans="1:9" x14ac:dyDescent="0.3">
      <c r="A17" s="6">
        <v>10</v>
      </c>
      <c r="B17" s="6">
        <v>15</v>
      </c>
      <c r="C17" s="6">
        <v>24</v>
      </c>
      <c r="D17" s="15"/>
      <c r="E17" s="15"/>
      <c r="F17" s="15"/>
      <c r="G17" s="40"/>
      <c r="H17" s="40"/>
      <c r="I17" s="40"/>
    </row>
    <row r="18" spans="1:9" x14ac:dyDescent="0.3">
      <c r="A18" s="15" t="s">
        <v>1327</v>
      </c>
      <c r="B18" s="15" t="s">
        <v>1328</v>
      </c>
      <c r="C18" s="15"/>
      <c r="D18" s="15"/>
      <c r="E18" s="15"/>
      <c r="F18" s="15"/>
      <c r="G18" s="40"/>
      <c r="H18" s="40"/>
      <c r="I18" s="40"/>
    </row>
    <row r="19" spans="1:9" x14ac:dyDescent="0.3">
      <c r="A19" s="6">
        <v>4</v>
      </c>
      <c r="B19" s="6" t="s">
        <v>1329</v>
      </c>
      <c r="C19" s="15"/>
      <c r="D19" s="15"/>
      <c r="E19" s="15"/>
      <c r="F19" s="15"/>
      <c r="G19" s="40"/>
      <c r="H19" s="40"/>
      <c r="I19" s="40"/>
    </row>
    <row r="20" spans="1:9" x14ac:dyDescent="0.3">
      <c r="A20" s="15" t="s">
        <v>1306</v>
      </c>
      <c r="B20" s="15"/>
      <c r="C20" s="15"/>
      <c r="D20" s="15"/>
      <c r="E20" s="15"/>
      <c r="F20" s="15"/>
      <c r="G20" s="40"/>
      <c r="H20" s="40"/>
      <c r="I20" s="40"/>
    </row>
    <row r="21" spans="1:9" x14ac:dyDescent="0.3">
      <c r="A21" s="6" t="s">
        <v>1307</v>
      </c>
      <c r="B21" s="15"/>
      <c r="C21" s="15"/>
      <c r="D21" s="15"/>
      <c r="E21" s="15"/>
      <c r="F21" s="15"/>
      <c r="G21" s="40"/>
      <c r="H21" s="40"/>
      <c r="I21" s="40"/>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zoomScale="90" zoomScaleNormal="90" workbookViewId="0">
      <selection activeCell="A114" sqref="A114"/>
    </sheetView>
  </sheetViews>
  <sheetFormatPr defaultRowHeight="14.4" x14ac:dyDescent="0.3"/>
  <cols>
    <col min="1" max="1" width="68" bestFit="1" customWidth="1"/>
    <col min="10" max="10" width="14.5546875" customWidth="1"/>
    <col min="11" max="11" width="12.44140625" customWidth="1"/>
    <col min="20" max="20" width="22.109375" customWidth="1"/>
    <col min="25" max="25" width="24.33203125" bestFit="1" customWidth="1"/>
  </cols>
  <sheetData>
    <row r="1" spans="1:30" x14ac:dyDescent="0.3">
      <c r="A1" s="49" t="s">
        <v>1820</v>
      </c>
      <c r="B1" s="43"/>
      <c r="C1" s="43"/>
      <c r="D1" s="43"/>
      <c r="E1" s="43"/>
      <c r="F1" s="43"/>
      <c r="G1" s="43"/>
      <c r="H1" s="34"/>
    </row>
    <row r="2" spans="1:30" x14ac:dyDescent="0.3">
      <c r="A2" s="49" t="s">
        <v>1821</v>
      </c>
      <c r="B2" s="43"/>
      <c r="C2" s="43"/>
      <c r="D2" s="43"/>
      <c r="E2" s="43"/>
      <c r="F2" s="43"/>
      <c r="G2" s="43"/>
      <c r="H2" s="34"/>
      <c r="M2" t="s">
        <v>1673</v>
      </c>
    </row>
    <row r="3" spans="1:30" x14ac:dyDescent="0.3">
      <c r="A3" s="49" t="s">
        <v>1822</v>
      </c>
      <c r="B3" s="43"/>
      <c r="C3" s="43"/>
      <c r="D3" s="43"/>
      <c r="E3" s="43"/>
      <c r="F3" s="43"/>
      <c r="G3" s="43"/>
      <c r="H3" s="34"/>
      <c r="M3" s="66" t="s">
        <v>1672</v>
      </c>
    </row>
    <row r="4" spans="1:30" x14ac:dyDescent="0.3">
      <c r="A4" s="49" t="s">
        <v>2393</v>
      </c>
      <c r="B4" s="43"/>
      <c r="C4" s="43"/>
      <c r="D4" s="43"/>
      <c r="E4" s="43"/>
      <c r="F4" s="43"/>
      <c r="G4" s="43"/>
      <c r="H4" s="34"/>
    </row>
    <row r="5" spans="1:30" x14ac:dyDescent="0.3">
      <c r="A5" s="43" t="s">
        <v>1826</v>
      </c>
      <c r="B5" s="6" t="s">
        <v>1823</v>
      </c>
      <c r="C5" s="43"/>
      <c r="D5" s="43"/>
      <c r="E5" s="43"/>
      <c r="F5" s="43"/>
      <c r="G5" s="43"/>
      <c r="H5" s="34"/>
      <c r="Y5" t="s">
        <v>2385</v>
      </c>
    </row>
    <row r="6" spans="1:30" x14ac:dyDescent="0.3">
      <c r="A6" s="43" t="s">
        <v>1905</v>
      </c>
      <c r="B6" s="6" t="s">
        <v>1824</v>
      </c>
      <c r="C6" s="43"/>
      <c r="D6" s="43"/>
      <c r="E6" s="43"/>
      <c r="F6" s="43"/>
      <c r="G6" s="43"/>
      <c r="H6" s="34"/>
    </row>
    <row r="7" spans="1:30" x14ac:dyDescent="0.3">
      <c r="A7" s="11" t="s">
        <v>1906</v>
      </c>
      <c r="B7" s="11">
        <v>5</v>
      </c>
      <c r="C7" s="11"/>
      <c r="D7" s="11"/>
      <c r="E7" s="11"/>
      <c r="F7" s="11"/>
      <c r="G7" s="11"/>
      <c r="H7" s="12"/>
      <c r="I7" s="86">
        <v>1</v>
      </c>
      <c r="J7" t="s">
        <v>1957</v>
      </c>
      <c r="AD7" t="s">
        <v>1978</v>
      </c>
    </row>
    <row r="8" spans="1:30" x14ac:dyDescent="0.3">
      <c r="A8" s="11" t="s">
        <v>1907</v>
      </c>
      <c r="B8" s="11">
        <v>1</v>
      </c>
      <c r="C8" s="11">
        <v>65</v>
      </c>
      <c r="D8" s="11">
        <v>125</v>
      </c>
      <c r="E8" s="11">
        <v>200</v>
      </c>
      <c r="F8" s="11">
        <v>300</v>
      </c>
      <c r="G8" s="11"/>
      <c r="H8" s="90"/>
      <c r="I8" s="87">
        <v>2</v>
      </c>
      <c r="AD8" t="s">
        <v>1973</v>
      </c>
    </row>
    <row r="9" spans="1:30" x14ac:dyDescent="0.3">
      <c r="A9" s="11" t="s">
        <v>1908</v>
      </c>
      <c r="B9" s="14">
        <v>50</v>
      </c>
      <c r="C9" s="11">
        <v>100</v>
      </c>
      <c r="D9" s="11">
        <v>175</v>
      </c>
      <c r="E9" s="11">
        <v>250</v>
      </c>
      <c r="F9" s="11">
        <v>400</v>
      </c>
      <c r="G9" s="11"/>
      <c r="H9" s="90"/>
      <c r="I9" s="87">
        <v>3</v>
      </c>
      <c r="AD9" t="s">
        <v>1974</v>
      </c>
    </row>
    <row r="10" spans="1:30" x14ac:dyDescent="0.3">
      <c r="A10" s="11" t="s">
        <v>1909</v>
      </c>
      <c r="B10" s="11">
        <v>360000</v>
      </c>
      <c r="C10" s="11"/>
      <c r="D10" s="11"/>
      <c r="E10" s="11"/>
      <c r="F10" s="11"/>
      <c r="G10" s="11"/>
      <c r="H10" s="12"/>
      <c r="I10" s="86">
        <v>4</v>
      </c>
      <c r="AD10" t="s">
        <v>1975</v>
      </c>
    </row>
    <row r="11" spans="1:30" x14ac:dyDescent="0.3">
      <c r="A11" s="11" t="s">
        <v>1910</v>
      </c>
      <c r="B11" s="11">
        <v>0</v>
      </c>
      <c r="C11" s="11"/>
      <c r="D11" s="11"/>
      <c r="E11" s="11"/>
      <c r="F11" s="11"/>
      <c r="G11" s="11"/>
      <c r="H11" s="12"/>
      <c r="I11" s="86">
        <v>5</v>
      </c>
      <c r="AD11" t="s">
        <v>1976</v>
      </c>
    </row>
    <row r="12" spans="1:30" x14ac:dyDescent="0.3">
      <c r="A12" s="11" t="s">
        <v>1911</v>
      </c>
      <c r="B12" s="81" t="s">
        <v>1912</v>
      </c>
      <c r="C12" s="11"/>
      <c r="D12" s="11"/>
      <c r="E12" s="11"/>
      <c r="F12" s="11"/>
      <c r="G12" s="11"/>
      <c r="H12" s="12"/>
      <c r="I12" s="86">
        <v>6</v>
      </c>
      <c r="AD12" t="s">
        <v>1977</v>
      </c>
    </row>
    <row r="13" spans="1:30" x14ac:dyDescent="0.3">
      <c r="A13" s="43" t="s">
        <v>1904</v>
      </c>
      <c r="B13" s="6" t="s">
        <v>1824</v>
      </c>
      <c r="C13" s="43"/>
      <c r="D13" s="43"/>
      <c r="E13" s="43"/>
      <c r="F13" s="43"/>
      <c r="G13" s="43"/>
      <c r="H13" s="34"/>
      <c r="J13" t="s">
        <v>1972</v>
      </c>
    </row>
    <row r="14" spans="1:30" x14ac:dyDescent="0.3">
      <c r="A14" s="15" t="s">
        <v>1913</v>
      </c>
      <c r="B14" s="15">
        <v>1</v>
      </c>
      <c r="C14" s="15"/>
      <c r="D14" s="15"/>
      <c r="E14" s="15"/>
      <c r="F14" s="15"/>
      <c r="G14" s="15"/>
      <c r="H14" s="91"/>
      <c r="I14" s="87">
        <v>1</v>
      </c>
      <c r="J14" t="s">
        <v>1979</v>
      </c>
      <c r="AD14" t="s">
        <v>1958</v>
      </c>
    </row>
    <row r="15" spans="1:30" x14ac:dyDescent="0.3">
      <c r="A15" s="82" t="s">
        <v>1914</v>
      </c>
      <c r="B15" s="15">
        <v>6</v>
      </c>
      <c r="C15" s="15"/>
      <c r="D15" s="15"/>
      <c r="E15" s="15"/>
      <c r="F15" s="15"/>
      <c r="G15" s="15"/>
      <c r="H15" s="91"/>
      <c r="I15" s="87">
        <v>2</v>
      </c>
      <c r="AD15" t="s">
        <v>1959</v>
      </c>
    </row>
    <row r="16" spans="1:30" x14ac:dyDescent="0.3">
      <c r="A16" s="82" t="s">
        <v>1915</v>
      </c>
      <c r="B16" s="15">
        <v>1</v>
      </c>
      <c r="C16" s="15">
        <v>14</v>
      </c>
      <c r="D16" s="15">
        <v>36</v>
      </c>
      <c r="E16" s="15">
        <v>54</v>
      </c>
      <c r="F16" s="15">
        <v>67</v>
      </c>
      <c r="G16" s="15">
        <v>82</v>
      </c>
      <c r="H16" s="91"/>
      <c r="I16" s="87">
        <v>3</v>
      </c>
      <c r="AD16" t="s">
        <v>1960</v>
      </c>
    </row>
    <row r="17" spans="1:30" x14ac:dyDescent="0.3">
      <c r="A17" s="82" t="s">
        <v>1916</v>
      </c>
      <c r="B17" s="15">
        <v>13</v>
      </c>
      <c r="C17" s="15">
        <v>35</v>
      </c>
      <c r="D17" s="15">
        <v>51</v>
      </c>
      <c r="E17" s="15">
        <v>66</v>
      </c>
      <c r="F17" s="15">
        <v>81</v>
      </c>
      <c r="G17" s="15">
        <v>90</v>
      </c>
      <c r="H17" s="91"/>
      <c r="I17" s="87">
        <v>4</v>
      </c>
      <c r="AD17" t="s">
        <v>1961</v>
      </c>
    </row>
    <row r="18" spans="1:30" x14ac:dyDescent="0.3">
      <c r="A18" s="15" t="s">
        <v>1917</v>
      </c>
      <c r="B18" s="15">
        <v>1</v>
      </c>
      <c r="C18" s="15">
        <v>1</v>
      </c>
      <c r="D18" s="15">
        <v>1</v>
      </c>
      <c r="E18" s="15">
        <v>1</v>
      </c>
      <c r="F18" s="15">
        <v>1</v>
      </c>
      <c r="G18" s="15">
        <v>1</v>
      </c>
      <c r="H18" s="91"/>
      <c r="I18" s="87">
        <v>5</v>
      </c>
      <c r="AD18" t="s">
        <v>1962</v>
      </c>
    </row>
    <row r="19" spans="1:30" x14ac:dyDescent="0.3">
      <c r="A19" s="15" t="s">
        <v>1918</v>
      </c>
      <c r="B19" s="15">
        <v>0</v>
      </c>
      <c r="C19" s="15">
        <v>0</v>
      </c>
      <c r="D19" s="15">
        <v>0</v>
      </c>
      <c r="E19" s="15">
        <v>0</v>
      </c>
      <c r="F19" s="15">
        <v>0</v>
      </c>
      <c r="G19" s="15">
        <v>0</v>
      </c>
      <c r="H19" s="91"/>
      <c r="I19" s="87">
        <v>6</v>
      </c>
      <c r="AD19" t="s">
        <v>1963</v>
      </c>
    </row>
    <row r="20" spans="1:30" x14ac:dyDescent="0.3">
      <c r="A20" s="15" t="s">
        <v>1919</v>
      </c>
      <c r="B20" s="15" t="s">
        <v>1920</v>
      </c>
      <c r="C20" s="83"/>
      <c r="D20" s="83"/>
      <c r="E20" s="83"/>
      <c r="F20" s="83"/>
      <c r="G20" s="83"/>
      <c r="H20" s="92"/>
      <c r="I20" s="87">
        <v>7</v>
      </c>
      <c r="AD20" t="s">
        <v>1964</v>
      </c>
    </row>
    <row r="21" spans="1:30" x14ac:dyDescent="0.3">
      <c r="A21" s="15" t="s">
        <v>1984</v>
      </c>
      <c r="B21" s="15" t="s">
        <v>1912</v>
      </c>
      <c r="C21" s="83"/>
      <c r="D21" s="83"/>
      <c r="E21" s="83"/>
      <c r="F21" s="83"/>
      <c r="G21" s="83"/>
      <c r="H21" s="93"/>
      <c r="I21" s="86">
        <v>8</v>
      </c>
      <c r="AD21" t="s">
        <v>1982</v>
      </c>
    </row>
    <row r="22" spans="1:30" x14ac:dyDescent="0.3">
      <c r="A22" s="15" t="s">
        <v>1985</v>
      </c>
      <c r="B22" s="15" t="s">
        <v>1912</v>
      </c>
      <c r="C22" s="83"/>
      <c r="D22" s="83"/>
      <c r="E22" s="83"/>
      <c r="F22" s="83"/>
      <c r="G22" s="83"/>
      <c r="H22" s="93"/>
      <c r="I22" s="86">
        <v>9</v>
      </c>
      <c r="AD22" t="s">
        <v>1983</v>
      </c>
    </row>
    <row r="23" spans="1:30" x14ac:dyDescent="0.3">
      <c r="A23" s="43" t="s">
        <v>1827</v>
      </c>
      <c r="B23" s="6" t="s">
        <v>1823</v>
      </c>
      <c r="C23" s="43"/>
      <c r="D23" s="43"/>
      <c r="E23" s="43"/>
      <c r="F23" s="43"/>
      <c r="G23" s="43"/>
      <c r="H23" s="34"/>
    </row>
    <row r="24" spans="1:30" x14ac:dyDescent="0.3">
      <c r="A24" s="88" t="s">
        <v>1921</v>
      </c>
      <c r="B24" s="88">
        <v>0.2</v>
      </c>
      <c r="C24" s="88"/>
      <c r="D24" s="88"/>
      <c r="E24" s="88"/>
      <c r="F24" s="88"/>
      <c r="G24" s="88"/>
      <c r="H24" s="94"/>
      <c r="I24" s="87">
        <v>1</v>
      </c>
      <c r="J24" t="s">
        <v>1980</v>
      </c>
      <c r="AD24" t="s">
        <v>1965</v>
      </c>
    </row>
    <row r="25" spans="1:30" x14ac:dyDescent="0.3">
      <c r="A25" s="88" t="s">
        <v>1922</v>
      </c>
      <c r="B25" s="88">
        <v>0.8</v>
      </c>
      <c r="C25" s="88"/>
      <c r="D25" s="88"/>
      <c r="E25" s="88"/>
      <c r="F25" s="88"/>
      <c r="G25" s="88"/>
      <c r="H25" s="94"/>
      <c r="I25" s="87">
        <v>2</v>
      </c>
      <c r="AD25" t="s">
        <v>1966</v>
      </c>
    </row>
    <row r="26" spans="1:30" x14ac:dyDescent="0.3">
      <c r="A26" s="88" t="s">
        <v>1923</v>
      </c>
      <c r="B26" s="88">
        <v>100</v>
      </c>
      <c r="C26" s="88"/>
      <c r="D26" s="88"/>
      <c r="E26" s="88"/>
      <c r="F26" s="88"/>
      <c r="G26" s="88"/>
      <c r="H26" s="94"/>
      <c r="I26" s="87">
        <v>3</v>
      </c>
      <c r="AD26" t="s">
        <v>1969</v>
      </c>
    </row>
    <row r="27" spans="1:30" x14ac:dyDescent="0.3">
      <c r="A27" s="88" t="s">
        <v>1924</v>
      </c>
      <c r="B27" s="88">
        <v>2</v>
      </c>
      <c r="C27" s="88"/>
      <c r="D27" s="88"/>
      <c r="E27" s="88"/>
      <c r="F27" s="88"/>
      <c r="G27" s="88"/>
      <c r="H27" s="94"/>
      <c r="I27" s="87">
        <v>4</v>
      </c>
      <c r="AD27" t="s">
        <v>1970</v>
      </c>
    </row>
    <row r="28" spans="1:30" x14ac:dyDescent="0.3">
      <c r="A28" s="88" t="s">
        <v>1925</v>
      </c>
      <c r="B28" s="88">
        <v>2600</v>
      </c>
      <c r="C28" s="88"/>
      <c r="D28" s="88"/>
      <c r="E28" s="88"/>
      <c r="F28" s="88"/>
      <c r="G28" s="88"/>
      <c r="H28" s="94"/>
      <c r="I28" s="87">
        <v>5</v>
      </c>
      <c r="AD28" t="s">
        <v>1967</v>
      </c>
    </row>
    <row r="29" spans="1:30" x14ac:dyDescent="0.3">
      <c r="A29" s="88" t="s">
        <v>1926</v>
      </c>
      <c r="B29" s="88">
        <v>5</v>
      </c>
      <c r="C29" s="88"/>
      <c r="D29" s="88"/>
      <c r="E29" s="88"/>
      <c r="F29" s="88"/>
      <c r="G29" s="88"/>
      <c r="H29" s="94"/>
      <c r="I29" s="87">
        <v>6</v>
      </c>
      <c r="AD29" t="s">
        <v>1968</v>
      </c>
    </row>
    <row r="30" spans="1:30" x14ac:dyDescent="0.3">
      <c r="A30" s="88" t="s">
        <v>1927</v>
      </c>
      <c r="B30" s="89" t="s">
        <v>1912</v>
      </c>
      <c r="C30" s="88"/>
      <c r="D30" s="88"/>
      <c r="E30" s="88"/>
      <c r="F30" s="88"/>
      <c r="G30" s="88"/>
      <c r="H30" s="94"/>
      <c r="I30" s="87">
        <v>7</v>
      </c>
      <c r="AD30" t="s">
        <v>1971</v>
      </c>
    </row>
    <row r="31" spans="1:30" x14ac:dyDescent="0.3">
      <c r="A31" s="43" t="s">
        <v>1828</v>
      </c>
      <c r="B31" s="6" t="s">
        <v>1824</v>
      </c>
      <c r="C31" s="43"/>
      <c r="D31" s="43"/>
      <c r="E31" s="43"/>
      <c r="F31" s="43"/>
      <c r="G31" s="43"/>
      <c r="H31" s="34"/>
      <c r="J31" t="s">
        <v>1981</v>
      </c>
    </row>
    <row r="32" spans="1:30" x14ac:dyDescent="0.3">
      <c r="A32" s="42" t="s">
        <v>1928</v>
      </c>
      <c r="B32" s="84" t="s">
        <v>1929</v>
      </c>
      <c r="C32" s="42"/>
      <c r="D32" s="42"/>
      <c r="E32" s="42"/>
      <c r="F32" s="42"/>
      <c r="G32" s="42"/>
      <c r="H32" s="41"/>
      <c r="I32" s="86">
        <v>1</v>
      </c>
      <c r="AD32" t="s">
        <v>1986</v>
      </c>
    </row>
    <row r="33" spans="1:30" x14ac:dyDescent="0.3">
      <c r="A33" s="42" t="s">
        <v>1930</v>
      </c>
      <c r="B33" s="84">
        <v>1.4E-3</v>
      </c>
      <c r="C33" s="42"/>
      <c r="D33" s="42"/>
      <c r="E33" s="42"/>
      <c r="F33" s="42"/>
      <c r="G33" s="42"/>
      <c r="H33" s="95"/>
      <c r="I33" s="87">
        <v>2</v>
      </c>
      <c r="AD33" t="s">
        <v>1987</v>
      </c>
    </row>
    <row r="34" spans="1:30" x14ac:dyDescent="0.3">
      <c r="A34" s="42" t="s">
        <v>1931</v>
      </c>
      <c r="B34" s="84" t="s">
        <v>1932</v>
      </c>
      <c r="C34" s="42"/>
      <c r="D34" s="42"/>
      <c r="E34" s="42"/>
      <c r="F34" s="42"/>
      <c r="G34" s="42"/>
      <c r="H34" s="95"/>
      <c r="I34" s="87">
        <v>3</v>
      </c>
      <c r="AD34" t="s">
        <v>1988</v>
      </c>
    </row>
    <row r="35" spans="1:30" x14ac:dyDescent="0.3">
      <c r="A35" s="42" t="s">
        <v>1933</v>
      </c>
      <c r="B35" s="42">
        <v>300</v>
      </c>
      <c r="C35" s="42"/>
      <c r="D35" s="42"/>
      <c r="E35" s="42"/>
      <c r="F35" s="42"/>
      <c r="G35" s="42"/>
      <c r="H35" s="41"/>
      <c r="I35" s="86">
        <v>4</v>
      </c>
      <c r="AD35" t="s">
        <v>1989</v>
      </c>
    </row>
    <row r="36" spans="1:30" x14ac:dyDescent="0.3">
      <c r="A36" s="42" t="s">
        <v>1934</v>
      </c>
      <c r="B36" s="42">
        <v>0</v>
      </c>
      <c r="C36" s="42"/>
      <c r="D36" s="42"/>
      <c r="E36" s="42"/>
      <c r="F36" s="42"/>
      <c r="G36" s="42"/>
      <c r="H36" s="41"/>
      <c r="I36" s="86">
        <v>5</v>
      </c>
      <c r="AD36" t="s">
        <v>1990</v>
      </c>
    </row>
    <row r="37" spans="1:30" x14ac:dyDescent="0.3">
      <c r="A37" s="42" t="s">
        <v>1935</v>
      </c>
      <c r="B37" s="84">
        <v>0.2</v>
      </c>
      <c r="C37" s="42"/>
      <c r="D37" s="42"/>
      <c r="E37" s="42"/>
      <c r="F37" s="42"/>
      <c r="G37" s="42"/>
      <c r="H37" s="41"/>
      <c r="I37" s="86">
        <v>6</v>
      </c>
      <c r="AD37" t="s">
        <v>1991</v>
      </c>
    </row>
    <row r="38" spans="1:30" x14ac:dyDescent="0.3">
      <c r="A38" s="42" t="s">
        <v>1936</v>
      </c>
      <c r="B38" s="84" t="s">
        <v>1937</v>
      </c>
      <c r="C38" s="42"/>
      <c r="D38" s="42"/>
      <c r="E38" s="42"/>
      <c r="F38" s="42"/>
      <c r="G38" s="42"/>
      <c r="H38" s="41"/>
      <c r="I38" s="86">
        <v>7</v>
      </c>
      <c r="AD38" t="s">
        <v>1992</v>
      </c>
    </row>
    <row r="39" spans="1:30" x14ac:dyDescent="0.3">
      <c r="A39" s="42" t="s">
        <v>1938</v>
      </c>
      <c r="B39" s="84">
        <v>80</v>
      </c>
      <c r="C39" s="42"/>
      <c r="D39" s="42"/>
      <c r="E39" s="42"/>
      <c r="F39" s="42"/>
      <c r="G39" s="42"/>
      <c r="H39" s="95"/>
      <c r="I39" s="87">
        <v>8</v>
      </c>
      <c r="AD39" t="s">
        <v>1993</v>
      </c>
    </row>
    <row r="40" spans="1:30" x14ac:dyDescent="0.3">
      <c r="A40" s="42" t="s">
        <v>1939</v>
      </c>
      <c r="B40" s="84" t="s">
        <v>1937</v>
      </c>
      <c r="C40" s="42"/>
      <c r="D40" s="42"/>
      <c r="E40" s="42"/>
      <c r="F40" s="42"/>
      <c r="G40" s="42"/>
      <c r="H40" s="95"/>
      <c r="I40" s="87">
        <v>9</v>
      </c>
      <c r="AD40" t="s">
        <v>1994</v>
      </c>
    </row>
    <row r="41" spans="1:30" x14ac:dyDescent="0.3">
      <c r="A41" s="42" t="s">
        <v>1940</v>
      </c>
      <c r="B41" s="84">
        <v>1E-3</v>
      </c>
      <c r="C41" s="42"/>
      <c r="D41" s="42"/>
      <c r="E41" s="42"/>
      <c r="F41" s="42"/>
      <c r="G41" s="42"/>
      <c r="H41" s="41"/>
      <c r="I41" s="86">
        <v>10</v>
      </c>
      <c r="AD41" t="s">
        <v>1995</v>
      </c>
    </row>
    <row r="42" spans="1:30" x14ac:dyDescent="0.3">
      <c r="A42" s="42" t="s">
        <v>1941</v>
      </c>
      <c r="B42" s="84">
        <v>0.1</v>
      </c>
      <c r="C42" s="42"/>
      <c r="D42" s="42"/>
      <c r="E42" s="42"/>
      <c r="F42" s="42"/>
      <c r="G42" s="42"/>
      <c r="H42" s="41"/>
      <c r="I42" s="86">
        <v>11</v>
      </c>
      <c r="AD42" t="s">
        <v>1996</v>
      </c>
    </row>
    <row r="43" spans="1:30" x14ac:dyDescent="0.3">
      <c r="A43" s="42" t="s">
        <v>1942</v>
      </c>
      <c r="B43" s="84">
        <v>2000</v>
      </c>
      <c r="C43" s="42"/>
      <c r="D43" s="42"/>
      <c r="E43" s="42"/>
      <c r="F43" s="42"/>
      <c r="G43" s="42"/>
      <c r="H43" s="41"/>
      <c r="I43" s="86">
        <v>12</v>
      </c>
      <c r="AD43" t="s">
        <v>1997</v>
      </c>
    </row>
    <row r="44" spans="1:30" x14ac:dyDescent="0.3">
      <c r="A44" s="42" t="s">
        <v>1943</v>
      </c>
      <c r="B44" s="84">
        <v>1E-3</v>
      </c>
      <c r="C44" s="42"/>
      <c r="D44" s="42"/>
      <c r="E44" s="42"/>
      <c r="F44" s="42"/>
      <c r="G44" s="42"/>
      <c r="H44" s="41"/>
      <c r="I44" s="86">
        <v>13</v>
      </c>
      <c r="AD44" t="s">
        <v>1998</v>
      </c>
    </row>
    <row r="45" spans="1:30" x14ac:dyDescent="0.3">
      <c r="A45" s="42" t="s">
        <v>1944</v>
      </c>
      <c r="B45" s="84" t="s">
        <v>1945</v>
      </c>
      <c r="C45" s="42"/>
      <c r="D45" s="42"/>
      <c r="E45" s="42"/>
      <c r="F45" s="42"/>
      <c r="G45" s="42"/>
      <c r="H45" s="41"/>
      <c r="I45" s="86">
        <v>14</v>
      </c>
      <c r="AD45" t="s">
        <v>1999</v>
      </c>
    </row>
    <row r="46" spans="1:30" x14ac:dyDescent="0.3">
      <c r="A46" s="42" t="s">
        <v>1946</v>
      </c>
      <c r="B46" s="84" t="s">
        <v>1912</v>
      </c>
      <c r="C46" s="42"/>
      <c r="D46" s="42"/>
      <c r="E46" s="42"/>
      <c r="F46" s="42"/>
      <c r="G46" s="42"/>
      <c r="H46" s="41"/>
      <c r="I46" s="86">
        <v>15</v>
      </c>
      <c r="AD46" t="s">
        <v>2000</v>
      </c>
    </row>
    <row r="47" spans="1:30" x14ac:dyDescent="0.3">
      <c r="A47" s="42" t="s">
        <v>1947</v>
      </c>
      <c r="B47" s="84">
        <v>1E-3</v>
      </c>
      <c r="C47" s="42"/>
      <c r="D47" s="42"/>
      <c r="E47" s="42"/>
      <c r="F47" s="42"/>
      <c r="G47" s="42"/>
      <c r="H47" s="41"/>
      <c r="I47" s="86">
        <v>16</v>
      </c>
      <c r="AD47" t="s">
        <v>2001</v>
      </c>
    </row>
    <row r="48" spans="1:30" x14ac:dyDescent="0.3">
      <c r="A48" s="43" t="s">
        <v>1829</v>
      </c>
      <c r="B48" s="6" t="s">
        <v>1824</v>
      </c>
      <c r="C48" s="43"/>
      <c r="D48" s="43"/>
      <c r="E48" s="43"/>
      <c r="F48" s="43"/>
      <c r="G48" s="43"/>
      <c r="H48" s="34"/>
      <c r="J48" t="s">
        <v>2106</v>
      </c>
    </row>
    <row r="49" spans="1:30" x14ac:dyDescent="0.3">
      <c r="A49" s="11" t="s">
        <v>1948</v>
      </c>
      <c r="B49" s="11">
        <v>1E-3</v>
      </c>
      <c r="C49" s="43"/>
      <c r="D49" s="43"/>
      <c r="E49" s="43"/>
      <c r="F49" s="43"/>
      <c r="G49" s="43"/>
      <c r="H49" s="34"/>
      <c r="I49" s="86">
        <v>1</v>
      </c>
      <c r="AD49" t="s">
        <v>2012</v>
      </c>
    </row>
    <row r="50" spans="1:30" x14ac:dyDescent="0.3">
      <c r="A50" s="11" t="s">
        <v>1949</v>
      </c>
      <c r="B50" s="11">
        <v>10</v>
      </c>
      <c r="C50" s="43"/>
      <c r="D50" s="43"/>
      <c r="E50" s="43"/>
      <c r="F50" s="43"/>
      <c r="G50" s="43"/>
      <c r="H50" s="34"/>
      <c r="I50" s="86">
        <v>2</v>
      </c>
      <c r="AD50" t="s">
        <v>2013</v>
      </c>
    </row>
    <row r="51" spans="1:30" ht="28.8" x14ac:dyDescent="0.3">
      <c r="A51" s="85" t="s">
        <v>1950</v>
      </c>
      <c r="B51" s="81" t="s">
        <v>1912</v>
      </c>
      <c r="C51" s="43"/>
      <c r="D51" s="43"/>
      <c r="E51" s="43"/>
      <c r="F51" s="43"/>
      <c r="G51" s="43"/>
      <c r="H51" s="34"/>
      <c r="I51" s="86">
        <v>3</v>
      </c>
      <c r="AD51" t="s">
        <v>2014</v>
      </c>
    </row>
    <row r="52" spans="1:30" x14ac:dyDescent="0.3">
      <c r="A52" s="11" t="s">
        <v>1951</v>
      </c>
      <c r="B52" s="11">
        <v>1.5</v>
      </c>
      <c r="C52" s="43"/>
      <c r="D52" s="43"/>
      <c r="E52" s="43"/>
      <c r="F52" s="43"/>
      <c r="G52" s="43"/>
      <c r="H52" s="34"/>
      <c r="I52" s="86">
        <v>4</v>
      </c>
      <c r="AD52" t="s">
        <v>2015</v>
      </c>
    </row>
    <row r="53" spans="1:30" x14ac:dyDescent="0.3">
      <c r="A53" s="11" t="s">
        <v>1952</v>
      </c>
      <c r="B53" s="11">
        <v>1E-4</v>
      </c>
      <c r="C53" s="43"/>
      <c r="D53" s="43"/>
      <c r="E53" s="43"/>
      <c r="F53" s="43"/>
      <c r="G53" s="43"/>
      <c r="H53" s="34"/>
      <c r="I53" s="86">
        <v>5</v>
      </c>
      <c r="AD53" t="s">
        <v>2016</v>
      </c>
    </row>
    <row r="54" spans="1:30" x14ac:dyDescent="0.3">
      <c r="A54" s="43" t="s">
        <v>1830</v>
      </c>
      <c r="B54" s="6" t="s">
        <v>1824</v>
      </c>
      <c r="C54" s="43"/>
      <c r="D54" s="43"/>
      <c r="E54" s="43"/>
      <c r="F54" s="43"/>
      <c r="G54" s="43"/>
      <c r="H54" s="34"/>
      <c r="AD54" t="s">
        <v>2009</v>
      </c>
    </row>
    <row r="55" spans="1:30" x14ac:dyDescent="0.3">
      <c r="A55" s="43" t="s">
        <v>1831</v>
      </c>
      <c r="B55" s="6" t="s">
        <v>1824</v>
      </c>
      <c r="C55" s="43"/>
      <c r="D55" s="43"/>
      <c r="E55" s="43"/>
      <c r="F55" s="43"/>
      <c r="AD55" t="s">
        <v>2010</v>
      </c>
    </row>
    <row r="56" spans="1:30" x14ac:dyDescent="0.3">
      <c r="A56" s="43" t="s">
        <v>1832</v>
      </c>
      <c r="B56" s="6" t="s">
        <v>1824</v>
      </c>
      <c r="C56" s="43"/>
      <c r="D56" s="43"/>
      <c r="E56" s="43"/>
      <c r="F56" s="43"/>
      <c r="AD56" t="s">
        <v>2011</v>
      </c>
    </row>
    <row r="57" spans="1:30" x14ac:dyDescent="0.3">
      <c r="A57" s="60" t="s">
        <v>1833</v>
      </c>
      <c r="B57" s="6">
        <v>2</v>
      </c>
      <c r="C57" s="43"/>
      <c r="D57" s="43"/>
      <c r="E57" s="43"/>
      <c r="F57" s="43"/>
      <c r="G57" s="6"/>
      <c r="H57" s="1"/>
    </row>
    <row r="58" spans="1:30" x14ac:dyDescent="0.3">
      <c r="A58" s="17"/>
      <c r="B58" s="17" t="s">
        <v>2002</v>
      </c>
      <c r="C58" s="17" t="s">
        <v>2003</v>
      </c>
      <c r="D58" s="17" t="s">
        <v>2004</v>
      </c>
      <c r="E58" s="17" t="s">
        <v>2005</v>
      </c>
      <c r="F58" s="17" t="s">
        <v>2006</v>
      </c>
      <c r="G58" s="17"/>
      <c r="H58" s="30"/>
      <c r="I58" s="19"/>
      <c r="J58" s="19" t="s">
        <v>2107</v>
      </c>
    </row>
    <row r="59" spans="1:30" x14ac:dyDescent="0.3">
      <c r="A59" s="15" t="s">
        <v>1834</v>
      </c>
      <c r="B59" s="6">
        <v>2</v>
      </c>
      <c r="C59" s="6">
        <v>14</v>
      </c>
      <c r="D59" s="6"/>
      <c r="E59" s="6"/>
      <c r="F59" s="6"/>
      <c r="G59" s="6"/>
      <c r="H59" s="1"/>
      <c r="I59" s="86">
        <v>1</v>
      </c>
      <c r="AD59" t="s">
        <v>2021</v>
      </c>
    </row>
    <row r="60" spans="1:30" x14ac:dyDescent="0.3">
      <c r="A60" s="15" t="s">
        <v>1835</v>
      </c>
      <c r="B60" s="6">
        <v>13</v>
      </c>
      <c r="C60" s="6">
        <v>31</v>
      </c>
      <c r="D60" s="6"/>
      <c r="E60" s="6"/>
      <c r="F60" s="6"/>
      <c r="G60" s="6"/>
      <c r="H60" s="1"/>
      <c r="I60" s="86">
        <v>2</v>
      </c>
      <c r="AD60" t="s">
        <v>2022</v>
      </c>
    </row>
    <row r="61" spans="1:30" x14ac:dyDescent="0.3">
      <c r="A61" s="43" t="s">
        <v>1836</v>
      </c>
      <c r="B61" s="6">
        <v>10</v>
      </c>
      <c r="C61" s="6">
        <v>10</v>
      </c>
      <c r="D61" s="6"/>
      <c r="E61" s="6"/>
      <c r="F61" s="6"/>
      <c r="G61" s="6"/>
      <c r="H61" s="1"/>
      <c r="I61" s="86">
        <v>3</v>
      </c>
      <c r="AD61" t="s">
        <v>2023</v>
      </c>
    </row>
    <row r="62" spans="1:30" x14ac:dyDescent="0.3">
      <c r="A62" s="43" t="s">
        <v>2110</v>
      </c>
      <c r="B62" s="6">
        <v>7</v>
      </c>
      <c r="C62" s="6">
        <v>7</v>
      </c>
      <c r="D62" s="6"/>
      <c r="E62" s="6"/>
      <c r="F62" s="6"/>
      <c r="G62" s="6"/>
      <c r="H62" s="1"/>
      <c r="I62" s="86">
        <v>4</v>
      </c>
      <c r="AD62" t="s">
        <v>2024</v>
      </c>
    </row>
    <row r="63" spans="1:30" x14ac:dyDescent="0.3">
      <c r="A63" s="43" t="s">
        <v>1837</v>
      </c>
      <c r="B63" s="6">
        <v>2275.9459999999999</v>
      </c>
      <c r="C63" s="6">
        <v>2275.9459999999999</v>
      </c>
      <c r="D63" s="6"/>
      <c r="E63" s="6"/>
      <c r="F63" s="6"/>
      <c r="G63" s="6"/>
      <c r="H63" s="1"/>
      <c r="I63" s="86">
        <v>5</v>
      </c>
      <c r="AD63" t="s">
        <v>2025</v>
      </c>
    </row>
    <row r="64" spans="1:30" x14ac:dyDescent="0.3">
      <c r="A64" s="43" t="s">
        <v>1838</v>
      </c>
      <c r="B64" s="6">
        <v>326.00299999999999</v>
      </c>
      <c r="C64" s="6">
        <v>326.00299999999999</v>
      </c>
      <c r="D64" s="6"/>
      <c r="E64" s="6"/>
      <c r="F64" s="6"/>
      <c r="G64" s="6"/>
      <c r="H64" s="1"/>
      <c r="I64" s="86">
        <v>6</v>
      </c>
      <c r="AD64" t="s">
        <v>2026</v>
      </c>
    </row>
    <row r="65" spans="1:32" x14ac:dyDescent="0.3">
      <c r="A65" s="43" t="s">
        <v>1839</v>
      </c>
      <c r="B65" s="6">
        <v>25.265999999999998</v>
      </c>
      <c r="C65" s="6">
        <v>25.265999999999998</v>
      </c>
      <c r="D65" s="6"/>
      <c r="E65" s="6"/>
      <c r="F65" s="6"/>
      <c r="G65" s="6"/>
      <c r="H65" s="1"/>
      <c r="I65" s="86">
        <v>7</v>
      </c>
      <c r="AD65" t="s">
        <v>2027</v>
      </c>
    </row>
    <row r="66" spans="1:32" x14ac:dyDescent="0.3">
      <c r="A66" s="43" t="s">
        <v>1840</v>
      </c>
      <c r="B66" s="6">
        <v>0</v>
      </c>
      <c r="C66" s="6">
        <v>0</v>
      </c>
      <c r="D66" s="6"/>
      <c r="E66" s="6"/>
      <c r="F66" s="6"/>
      <c r="G66" s="6"/>
      <c r="H66" s="1"/>
      <c r="I66" s="86">
        <v>8</v>
      </c>
      <c r="AD66" t="s">
        <v>2028</v>
      </c>
    </row>
    <row r="67" spans="1:32" x14ac:dyDescent="0.3">
      <c r="A67" s="43" t="s">
        <v>1841</v>
      </c>
      <c r="B67" s="6">
        <v>0.05</v>
      </c>
      <c r="C67" s="6">
        <v>0.05</v>
      </c>
      <c r="D67" s="6"/>
      <c r="E67" s="6"/>
      <c r="F67" s="6"/>
      <c r="G67" s="6"/>
      <c r="H67" s="1"/>
      <c r="I67" s="86">
        <v>9</v>
      </c>
      <c r="AD67" t="s">
        <v>2029</v>
      </c>
    </row>
    <row r="68" spans="1:32" x14ac:dyDescent="0.3">
      <c r="A68" s="43" t="s">
        <v>1842</v>
      </c>
      <c r="B68" s="6">
        <v>0</v>
      </c>
      <c r="C68" s="6">
        <v>0</v>
      </c>
      <c r="D68" s="6"/>
      <c r="E68" s="6"/>
      <c r="F68" s="6"/>
      <c r="G68" s="6"/>
      <c r="H68" s="1"/>
      <c r="I68" s="86">
        <v>10</v>
      </c>
      <c r="AD68" t="s">
        <v>2030</v>
      </c>
    </row>
    <row r="69" spans="1:32" x14ac:dyDescent="0.3">
      <c r="A69" s="43" t="s">
        <v>1843</v>
      </c>
      <c r="B69" s="6">
        <v>9.5050000000000008</v>
      </c>
      <c r="C69" s="6">
        <v>9.5050000000000008</v>
      </c>
      <c r="D69" s="6"/>
      <c r="E69" s="6"/>
      <c r="F69" s="6"/>
      <c r="G69" s="6"/>
      <c r="H69" s="1"/>
      <c r="I69" s="86">
        <v>11</v>
      </c>
      <c r="AD69" t="s">
        <v>2031</v>
      </c>
    </row>
    <row r="70" spans="1:32" x14ac:dyDescent="0.3">
      <c r="A70" s="43" t="s">
        <v>1844</v>
      </c>
      <c r="B70" s="6">
        <v>0</v>
      </c>
      <c r="C70" s="6">
        <v>0</v>
      </c>
      <c r="D70" s="6"/>
      <c r="E70" s="6"/>
      <c r="F70" s="6"/>
      <c r="G70" s="6"/>
      <c r="H70" s="1"/>
      <c r="I70" s="86">
        <v>12</v>
      </c>
      <c r="AD70" t="s">
        <v>2032</v>
      </c>
    </row>
    <row r="71" spans="1:32" x14ac:dyDescent="0.3">
      <c r="A71" s="43" t="s">
        <v>1845</v>
      </c>
      <c r="B71" s="6">
        <v>9.1999999999999998E-2</v>
      </c>
      <c r="C71" s="6">
        <v>9.1999999999999998E-2</v>
      </c>
      <c r="D71" s="6"/>
      <c r="E71" s="6"/>
      <c r="F71" s="6"/>
      <c r="G71" s="6"/>
      <c r="H71" s="1"/>
      <c r="I71" s="86">
        <v>13</v>
      </c>
      <c r="AD71" t="s">
        <v>2033</v>
      </c>
    </row>
    <row r="72" spans="1:32" x14ac:dyDescent="0.3">
      <c r="A72" s="43" t="s">
        <v>1846</v>
      </c>
      <c r="B72" s="6">
        <v>4.0110000000000001</v>
      </c>
      <c r="C72" s="6">
        <v>4.0110000000000001</v>
      </c>
      <c r="D72" s="6"/>
      <c r="E72" s="6"/>
      <c r="F72" s="6"/>
      <c r="G72" s="6"/>
      <c r="H72" s="1"/>
      <c r="I72" s="86">
        <v>14</v>
      </c>
      <c r="AD72" t="s">
        <v>2034</v>
      </c>
    </row>
    <row r="73" spans="1:32" x14ac:dyDescent="0.3">
      <c r="A73" s="43" t="s">
        <v>2040</v>
      </c>
      <c r="B73" s="6">
        <v>50</v>
      </c>
      <c r="C73" s="6">
        <v>50</v>
      </c>
      <c r="D73" s="6"/>
      <c r="E73" s="6"/>
      <c r="F73" s="6"/>
      <c r="G73" s="6"/>
      <c r="H73" s="1"/>
      <c r="I73" s="86">
        <v>15</v>
      </c>
      <c r="AD73" t="s">
        <v>2035</v>
      </c>
    </row>
    <row r="74" spans="1:32" x14ac:dyDescent="0.3">
      <c r="A74" s="43" t="s">
        <v>2041</v>
      </c>
      <c r="B74" s="6"/>
      <c r="C74" s="6"/>
      <c r="D74" s="6"/>
      <c r="E74" s="6"/>
      <c r="F74" s="6"/>
      <c r="G74" s="6"/>
      <c r="H74" s="1"/>
      <c r="I74" s="86">
        <v>16</v>
      </c>
      <c r="AD74" t="s">
        <v>2036</v>
      </c>
    </row>
    <row r="75" spans="1:32" x14ac:dyDescent="0.3">
      <c r="A75" s="43" t="s">
        <v>2018</v>
      </c>
      <c r="B75" s="6"/>
      <c r="C75" s="6"/>
      <c r="D75" s="6"/>
      <c r="E75" s="6"/>
      <c r="F75" s="6"/>
      <c r="G75" s="6"/>
      <c r="H75" s="1"/>
      <c r="I75" s="86">
        <v>17</v>
      </c>
      <c r="AD75" t="s">
        <v>2037</v>
      </c>
    </row>
    <row r="76" spans="1:32" x14ac:dyDescent="0.3">
      <c r="A76" s="43" t="s">
        <v>2019</v>
      </c>
      <c r="B76" s="6"/>
      <c r="C76" s="6"/>
      <c r="D76" s="6"/>
      <c r="E76" s="6"/>
      <c r="F76" s="6"/>
      <c r="G76" s="6"/>
      <c r="H76" s="1"/>
      <c r="I76" s="86">
        <v>18</v>
      </c>
      <c r="AD76" t="s">
        <v>2038</v>
      </c>
    </row>
    <row r="77" spans="1:32" x14ac:dyDescent="0.3">
      <c r="A77" s="43" t="s">
        <v>2020</v>
      </c>
      <c r="B77" s="6"/>
      <c r="C77" s="6"/>
      <c r="D77" s="6"/>
      <c r="E77" s="6"/>
      <c r="F77" s="6"/>
      <c r="G77" s="6"/>
      <c r="H77" s="1"/>
      <c r="I77" s="86">
        <v>19</v>
      </c>
      <c r="AD77" t="s">
        <v>2039</v>
      </c>
    </row>
    <row r="78" spans="1:32" x14ac:dyDescent="0.3">
      <c r="A78" s="60" t="s">
        <v>1847</v>
      </c>
      <c r="B78" s="6">
        <v>2</v>
      </c>
      <c r="C78" s="6"/>
      <c r="D78" s="6"/>
      <c r="E78" s="6"/>
      <c r="F78" s="6"/>
      <c r="G78" s="6"/>
      <c r="H78" s="1"/>
      <c r="I78" t="s">
        <v>2017</v>
      </c>
    </row>
    <row r="79" spans="1:32" x14ac:dyDescent="0.3">
      <c r="A79" s="17"/>
      <c r="B79" s="17" t="s">
        <v>2002</v>
      </c>
      <c r="C79" s="17" t="s">
        <v>2003</v>
      </c>
      <c r="D79" s="17" t="s">
        <v>2004</v>
      </c>
      <c r="E79" s="17" t="s">
        <v>2005</v>
      </c>
      <c r="F79" s="17" t="s">
        <v>2006</v>
      </c>
      <c r="G79" s="17"/>
      <c r="H79" s="30"/>
      <c r="I79" s="19" t="s">
        <v>2108</v>
      </c>
    </row>
    <row r="80" spans="1:32" x14ac:dyDescent="0.3">
      <c r="A80" s="15" t="s">
        <v>1834</v>
      </c>
      <c r="B80" s="6">
        <v>2</v>
      </c>
      <c r="C80" s="6">
        <v>14</v>
      </c>
      <c r="D80" s="6"/>
      <c r="E80" s="6"/>
      <c r="F80" s="6"/>
      <c r="G80" s="6"/>
      <c r="H80" s="1"/>
      <c r="I80" s="86">
        <v>1</v>
      </c>
      <c r="J80" s="45" t="s">
        <v>2387</v>
      </c>
      <c r="K80" s="45"/>
      <c r="AF80" t="s">
        <v>2042</v>
      </c>
    </row>
    <row r="81" spans="1:32" x14ac:dyDescent="0.3">
      <c r="A81" s="15" t="s">
        <v>1835</v>
      </c>
      <c r="B81" s="6">
        <v>13</v>
      </c>
      <c r="C81" s="6">
        <v>31</v>
      </c>
      <c r="D81" s="6"/>
      <c r="E81" s="6"/>
      <c r="F81" s="6"/>
      <c r="G81" s="6"/>
      <c r="H81" s="1"/>
      <c r="I81" s="86">
        <v>2</v>
      </c>
      <c r="J81" s="45" t="s">
        <v>2386</v>
      </c>
      <c r="K81" s="45" t="s">
        <v>2391</v>
      </c>
      <c r="P81" s="113" t="s">
        <v>2388</v>
      </c>
      <c r="Q81" s="112"/>
      <c r="R81" s="112"/>
      <c r="S81" s="112"/>
      <c r="T81" s="112"/>
      <c r="AF81" t="s">
        <v>2043</v>
      </c>
    </row>
    <row r="82" spans="1:32" x14ac:dyDescent="0.3">
      <c r="A82" s="43" t="s">
        <v>1848</v>
      </c>
      <c r="B82" s="6">
        <v>0.65</v>
      </c>
      <c r="C82" s="6">
        <v>0.1</v>
      </c>
      <c r="D82" s="6"/>
      <c r="E82" s="6"/>
      <c r="F82" s="6"/>
      <c r="G82" s="6"/>
      <c r="H82" s="1"/>
      <c r="I82" s="86">
        <v>3</v>
      </c>
      <c r="J82" s="46">
        <v>0.65</v>
      </c>
      <c r="K82" s="46" t="s">
        <v>2389</v>
      </c>
      <c r="M82" s="43" t="s">
        <v>1848</v>
      </c>
      <c r="AF82" t="s">
        <v>2044</v>
      </c>
    </row>
    <row r="83" spans="1:32" x14ac:dyDescent="0.3">
      <c r="A83" s="43" t="s">
        <v>1849</v>
      </c>
      <c r="B83" s="6">
        <v>0.2</v>
      </c>
      <c r="C83" s="6">
        <v>0.89</v>
      </c>
      <c r="D83" s="6"/>
      <c r="E83" s="6"/>
      <c r="F83" s="6"/>
      <c r="G83" s="6"/>
      <c r="H83" s="1"/>
      <c r="I83" s="86">
        <v>4</v>
      </c>
      <c r="J83" s="46">
        <v>0.2</v>
      </c>
      <c r="K83" s="46" t="s">
        <v>2402</v>
      </c>
      <c r="M83" s="43" t="s">
        <v>1849</v>
      </c>
      <c r="AF83" t="s">
        <v>2045</v>
      </c>
    </row>
    <row r="84" spans="1:32" x14ac:dyDescent="0.3">
      <c r="A84" s="43" t="s">
        <v>1850</v>
      </c>
      <c r="B84" s="6">
        <v>0.1</v>
      </c>
      <c r="C84" s="6">
        <v>0.1</v>
      </c>
      <c r="D84" s="6"/>
      <c r="E84" s="6"/>
      <c r="F84" s="6"/>
      <c r="G84" s="6"/>
      <c r="H84" s="1"/>
      <c r="I84" s="86">
        <v>5</v>
      </c>
      <c r="J84" s="46">
        <v>0.65</v>
      </c>
      <c r="K84" s="45"/>
      <c r="M84" s="43" t="s">
        <v>1850</v>
      </c>
      <c r="AF84" t="s">
        <v>2046</v>
      </c>
    </row>
    <row r="85" spans="1:32" x14ac:dyDescent="0.3">
      <c r="A85" s="43" t="s">
        <v>1851</v>
      </c>
      <c r="B85" s="6">
        <v>0.89</v>
      </c>
      <c r="C85" s="6">
        <v>0.89</v>
      </c>
      <c r="D85" s="6"/>
      <c r="E85" s="6"/>
      <c r="F85" s="6"/>
      <c r="G85" s="6"/>
      <c r="H85" s="1"/>
      <c r="I85" s="86">
        <v>6</v>
      </c>
      <c r="J85" s="46">
        <v>0.25</v>
      </c>
      <c r="K85" s="45"/>
      <c r="M85" s="43" t="s">
        <v>1851</v>
      </c>
      <c r="AF85" t="s">
        <v>2047</v>
      </c>
    </row>
    <row r="86" spans="1:32" x14ac:dyDescent="0.3">
      <c r="A86" s="43" t="s">
        <v>1852</v>
      </c>
      <c r="B86" s="6">
        <v>0.1</v>
      </c>
      <c r="C86" s="6">
        <v>0.1</v>
      </c>
      <c r="D86" s="6"/>
      <c r="E86" s="6"/>
      <c r="F86" s="6"/>
      <c r="G86" s="6"/>
      <c r="H86" s="1"/>
      <c r="I86" s="86">
        <v>7</v>
      </c>
      <c r="J86" s="46">
        <v>0.65</v>
      </c>
      <c r="K86" s="45"/>
      <c r="M86" s="43" t="s">
        <v>1852</v>
      </c>
      <c r="AF86" t="s">
        <v>2048</v>
      </c>
    </row>
    <row r="87" spans="1:32" x14ac:dyDescent="0.3">
      <c r="A87" s="43" t="s">
        <v>1853</v>
      </c>
      <c r="B87" s="6">
        <v>0.89</v>
      </c>
      <c r="C87" s="6">
        <v>0.89</v>
      </c>
      <c r="D87" s="6"/>
      <c r="E87" s="6"/>
      <c r="F87" s="6"/>
      <c r="G87" s="6"/>
      <c r="H87" s="1"/>
      <c r="I87" s="86">
        <v>8</v>
      </c>
      <c r="J87" s="46">
        <v>0.25</v>
      </c>
      <c r="K87" s="46" t="s">
        <v>2403</v>
      </c>
      <c r="M87" s="43" t="s">
        <v>1853</v>
      </c>
      <c r="AF87" t="s">
        <v>2049</v>
      </c>
    </row>
    <row r="88" spans="1:32" x14ac:dyDescent="0.3">
      <c r="A88" s="43" t="s">
        <v>1854</v>
      </c>
      <c r="B88" s="6">
        <v>2.5000000000000001E-3</v>
      </c>
      <c r="C88" s="6">
        <v>2.5000000000000001E-3</v>
      </c>
      <c r="D88" s="6"/>
      <c r="E88" s="6"/>
      <c r="F88" s="6"/>
      <c r="G88" s="6"/>
      <c r="H88" s="1"/>
      <c r="I88" s="86">
        <v>9</v>
      </c>
      <c r="J88" s="45"/>
      <c r="K88" s="46" t="s">
        <v>2401</v>
      </c>
      <c r="M88" s="43" t="s">
        <v>1854</v>
      </c>
      <c r="U88">
        <v>50</v>
      </c>
      <c r="V88" t="s">
        <v>2394</v>
      </c>
      <c r="W88">
        <f>U88/100/100</f>
        <v>5.0000000000000001E-3</v>
      </c>
      <c r="X88" t="s">
        <v>2395</v>
      </c>
      <c r="Y88" s="50"/>
      <c r="AF88" t="s">
        <v>2050</v>
      </c>
    </row>
    <row r="89" spans="1:32" x14ac:dyDescent="0.3">
      <c r="A89" s="43" t="s">
        <v>1855</v>
      </c>
      <c r="B89" s="6">
        <v>6.0000000000000002E-5</v>
      </c>
      <c r="C89" s="6">
        <v>6.0000000000000002E-5</v>
      </c>
      <c r="D89" s="6"/>
      <c r="E89" s="6"/>
      <c r="F89" s="6"/>
      <c r="G89" s="6"/>
      <c r="H89" s="1"/>
      <c r="I89" s="86">
        <v>10</v>
      </c>
      <c r="J89" s="45"/>
      <c r="K89" s="45"/>
      <c r="M89" s="43" t="s">
        <v>1855</v>
      </c>
      <c r="AF89" t="s">
        <v>2051</v>
      </c>
    </row>
    <row r="90" spans="1:32" x14ac:dyDescent="0.3">
      <c r="A90" s="43" t="s">
        <v>1856</v>
      </c>
      <c r="B90" s="6">
        <v>2.7397299999999999E-5</v>
      </c>
      <c r="C90" s="6">
        <v>2.7397299999999999E-5</v>
      </c>
      <c r="D90" s="6"/>
      <c r="E90" s="6"/>
      <c r="F90" s="6"/>
      <c r="G90" s="6"/>
      <c r="H90" s="1"/>
      <c r="I90" s="86">
        <v>11</v>
      </c>
      <c r="J90" s="114"/>
      <c r="K90" s="46" t="s">
        <v>2400</v>
      </c>
      <c r="M90" s="43" t="s">
        <v>1856</v>
      </c>
      <c r="P90" t="s">
        <v>2398</v>
      </c>
      <c r="R90">
        <v>0.2</v>
      </c>
      <c r="S90" t="s">
        <v>2396</v>
      </c>
      <c r="T90">
        <f>R90/100/365</f>
        <v>5.4794520547945209E-6</v>
      </c>
      <c r="U90" t="s">
        <v>2397</v>
      </c>
      <c r="W90">
        <v>0.75</v>
      </c>
      <c r="X90" t="s">
        <v>2399</v>
      </c>
      <c r="Y90">
        <f>W90/100/365</f>
        <v>2.0547945205479453E-5</v>
      </c>
      <c r="Z90" t="s">
        <v>2397</v>
      </c>
      <c r="AF90" t="s">
        <v>2052</v>
      </c>
    </row>
    <row r="91" spans="1:32" x14ac:dyDescent="0.3">
      <c r="A91" s="43" t="s">
        <v>2109</v>
      </c>
      <c r="B91" s="6">
        <v>0.01</v>
      </c>
      <c r="C91" s="6">
        <v>0.01</v>
      </c>
      <c r="D91" s="6"/>
      <c r="E91" s="6"/>
      <c r="F91" s="6"/>
      <c r="G91" s="6"/>
      <c r="H91" s="1"/>
      <c r="I91" s="86">
        <v>12</v>
      </c>
      <c r="J91" s="45"/>
      <c r="K91" s="45"/>
      <c r="M91" s="43" t="s">
        <v>2109</v>
      </c>
      <c r="AF91" t="s">
        <v>2053</v>
      </c>
    </row>
    <row r="92" spans="1:32" x14ac:dyDescent="0.3">
      <c r="A92" s="43" t="s">
        <v>1857</v>
      </c>
      <c r="B92" s="6">
        <v>1</v>
      </c>
      <c r="C92" s="6">
        <v>1</v>
      </c>
      <c r="D92" s="6"/>
      <c r="E92" s="6"/>
      <c r="F92" s="6"/>
      <c r="G92" s="6"/>
      <c r="H92" s="1"/>
      <c r="I92" s="86">
        <v>13</v>
      </c>
      <c r="J92" s="45"/>
      <c r="K92" s="45"/>
      <c r="M92" s="43" t="s">
        <v>1857</v>
      </c>
      <c r="AF92" t="s">
        <v>2054</v>
      </c>
    </row>
    <row r="93" spans="1:32" x14ac:dyDescent="0.3">
      <c r="A93" s="43" t="s">
        <v>1858</v>
      </c>
      <c r="B93" s="6">
        <v>2</v>
      </c>
      <c r="C93" s="6">
        <v>2</v>
      </c>
      <c r="D93" s="6"/>
      <c r="E93" s="6"/>
      <c r="F93" s="6"/>
      <c r="G93" s="6"/>
      <c r="H93" s="1"/>
      <c r="I93" s="86">
        <v>14</v>
      </c>
      <c r="J93" s="45"/>
      <c r="K93" s="45"/>
      <c r="M93" s="43" t="s">
        <v>1858</v>
      </c>
      <c r="AF93" t="s">
        <v>2055</v>
      </c>
    </row>
    <row r="94" spans="1:32" x14ac:dyDescent="0.3">
      <c r="A94" s="43" t="s">
        <v>1859</v>
      </c>
      <c r="B94" s="6">
        <v>0.3</v>
      </c>
      <c r="C94" s="6">
        <v>0.3</v>
      </c>
      <c r="D94" s="6"/>
      <c r="E94" s="6"/>
      <c r="F94" s="6"/>
      <c r="G94" s="6"/>
      <c r="H94" s="1"/>
      <c r="I94" s="86">
        <v>15</v>
      </c>
      <c r="J94" s="46"/>
      <c r="K94" s="46"/>
      <c r="M94" s="43" t="s">
        <v>1859</v>
      </c>
      <c r="AF94" t="s">
        <v>2056</v>
      </c>
    </row>
    <row r="95" spans="1:32" x14ac:dyDescent="0.3">
      <c r="A95" s="43" t="s">
        <v>1860</v>
      </c>
      <c r="B95" s="6">
        <v>0.3</v>
      </c>
      <c r="C95" s="6">
        <v>0.3</v>
      </c>
      <c r="D95" s="6"/>
      <c r="E95" s="6"/>
      <c r="F95" s="6"/>
      <c r="G95" s="6"/>
      <c r="H95" s="1"/>
      <c r="I95" s="86">
        <v>16</v>
      </c>
      <c r="J95" s="46">
        <v>0.13100000000000001</v>
      </c>
      <c r="K95" s="46" t="s">
        <v>2404</v>
      </c>
      <c r="M95" s="43" t="s">
        <v>1860</v>
      </c>
      <c r="AF95" t="s">
        <v>2057</v>
      </c>
    </row>
    <row r="96" spans="1:32" x14ac:dyDescent="0.3">
      <c r="A96" s="43" t="s">
        <v>1861</v>
      </c>
      <c r="B96" s="6">
        <v>0.1</v>
      </c>
      <c r="C96" s="6">
        <v>0.1</v>
      </c>
      <c r="D96" s="6"/>
      <c r="E96" s="6"/>
      <c r="F96" s="6"/>
      <c r="G96" s="6"/>
      <c r="H96" s="1"/>
      <c r="I96" s="86">
        <v>17</v>
      </c>
      <c r="J96" s="45"/>
      <c r="K96" s="45"/>
      <c r="M96" s="43" t="s">
        <v>1861</v>
      </c>
      <c r="AF96" t="s">
        <v>2058</v>
      </c>
    </row>
    <row r="97" spans="1:32" x14ac:dyDescent="0.3">
      <c r="A97" s="43" t="s">
        <v>1862</v>
      </c>
      <c r="B97" s="6">
        <v>0.1</v>
      </c>
      <c r="C97" s="6">
        <v>0.1</v>
      </c>
      <c r="D97" s="6"/>
      <c r="E97" s="6"/>
      <c r="F97" s="6"/>
      <c r="G97" s="6"/>
      <c r="H97" s="1"/>
      <c r="I97" s="86">
        <v>18</v>
      </c>
      <c r="J97" s="45"/>
      <c r="K97" s="45"/>
      <c r="M97" s="43" t="s">
        <v>1862</v>
      </c>
      <c r="AF97" t="s">
        <v>2059</v>
      </c>
    </row>
    <row r="98" spans="1:32" x14ac:dyDescent="0.3">
      <c r="A98" s="43" t="s">
        <v>1863</v>
      </c>
      <c r="B98" s="6">
        <v>0.1</v>
      </c>
      <c r="C98" s="6">
        <v>0.1</v>
      </c>
      <c r="D98" s="6"/>
      <c r="E98" s="6"/>
      <c r="F98" s="6"/>
      <c r="G98" s="6"/>
      <c r="H98" s="1"/>
      <c r="I98" s="86">
        <v>19</v>
      </c>
      <c r="J98" s="45"/>
      <c r="K98" s="45"/>
      <c r="M98" s="43" t="s">
        <v>1863</v>
      </c>
      <c r="AF98" t="s">
        <v>2060</v>
      </c>
    </row>
    <row r="99" spans="1:32" x14ac:dyDescent="0.3">
      <c r="A99" s="43" t="s">
        <v>1864</v>
      </c>
      <c r="B99" s="6">
        <v>0.7</v>
      </c>
      <c r="C99" s="6">
        <v>0.7</v>
      </c>
      <c r="D99" s="6"/>
      <c r="E99" s="6"/>
      <c r="F99" s="6"/>
      <c r="G99" s="6"/>
      <c r="H99" s="1"/>
      <c r="I99" s="86">
        <v>20</v>
      </c>
      <c r="J99" s="45"/>
      <c r="K99" s="45"/>
      <c r="M99" s="43" t="s">
        <v>1864</v>
      </c>
      <c r="AF99" t="s">
        <v>2061</v>
      </c>
    </row>
    <row r="100" spans="1:32" x14ac:dyDescent="0.3">
      <c r="A100" s="43" t="s">
        <v>1865</v>
      </c>
      <c r="B100" s="6">
        <v>0</v>
      </c>
      <c r="C100" s="6">
        <v>0</v>
      </c>
      <c r="D100" s="6"/>
      <c r="E100" s="6"/>
      <c r="F100" s="6"/>
      <c r="G100" s="6"/>
      <c r="H100" s="1"/>
      <c r="I100" s="86">
        <v>21</v>
      </c>
      <c r="J100" s="45"/>
      <c r="K100" s="45"/>
      <c r="M100" s="43" t="s">
        <v>1865</v>
      </c>
      <c r="AF100" t="s">
        <v>2062</v>
      </c>
    </row>
    <row r="101" spans="1:32" x14ac:dyDescent="0.3">
      <c r="A101" s="43" t="s">
        <v>1866</v>
      </c>
      <c r="B101" s="6">
        <v>0.72799999999999998</v>
      </c>
      <c r="C101" s="6">
        <v>0.72799999999999998</v>
      </c>
      <c r="D101" s="6"/>
      <c r="E101" s="6"/>
      <c r="F101" s="6"/>
      <c r="G101" s="6"/>
      <c r="H101" s="1"/>
      <c r="I101" s="86">
        <v>22</v>
      </c>
      <c r="J101" s="46">
        <v>0.72799999999999998</v>
      </c>
      <c r="K101" s="45"/>
      <c r="M101" s="43" t="s">
        <v>1866</v>
      </c>
      <c r="AF101" t="s">
        <v>2063</v>
      </c>
    </row>
    <row r="102" spans="1:32" x14ac:dyDescent="0.3">
      <c r="A102" s="43" t="s">
        <v>1867</v>
      </c>
      <c r="B102" s="6">
        <v>0.37</v>
      </c>
      <c r="C102" s="6">
        <v>0.37</v>
      </c>
      <c r="D102" s="6"/>
      <c r="E102" s="6"/>
      <c r="F102" s="6"/>
      <c r="G102" s="6"/>
      <c r="H102" s="1"/>
      <c r="I102" s="86">
        <v>23</v>
      </c>
      <c r="J102" s="46">
        <v>0.37</v>
      </c>
      <c r="K102" s="45"/>
      <c r="M102" s="43" t="s">
        <v>1867</v>
      </c>
      <c r="AF102" t="s">
        <v>2064</v>
      </c>
    </row>
    <row r="103" spans="1:32" x14ac:dyDescent="0.3">
      <c r="A103" s="43" t="s">
        <v>1868</v>
      </c>
      <c r="B103" s="6">
        <v>1.08</v>
      </c>
      <c r="C103" s="6">
        <v>1.08</v>
      </c>
      <c r="D103" s="6"/>
      <c r="E103" s="6"/>
      <c r="F103" s="6"/>
      <c r="G103" s="6"/>
      <c r="H103" s="1"/>
      <c r="I103" s="86">
        <v>24</v>
      </c>
      <c r="J103" s="45"/>
      <c r="K103" s="45"/>
      <c r="M103" s="43" t="s">
        <v>1868</v>
      </c>
      <c r="AF103" t="s">
        <v>2065</v>
      </c>
    </row>
    <row r="104" spans="1:32" x14ac:dyDescent="0.3">
      <c r="A104" s="43" t="s">
        <v>1869</v>
      </c>
      <c r="B104" s="6">
        <v>1</v>
      </c>
      <c r="C104" s="6">
        <v>1</v>
      </c>
      <c r="D104" s="6"/>
      <c r="E104" s="6"/>
      <c r="F104" s="6"/>
      <c r="G104" s="6"/>
      <c r="H104" s="1"/>
      <c r="I104" s="86">
        <v>25</v>
      </c>
      <c r="J104" s="45"/>
      <c r="K104" s="45"/>
      <c r="M104" s="43" t="s">
        <v>1869</v>
      </c>
      <c r="AF104" t="s">
        <v>2066</v>
      </c>
    </row>
    <row r="105" spans="1:32" x14ac:dyDescent="0.3">
      <c r="A105" s="43" t="s">
        <v>1870</v>
      </c>
      <c r="B105" s="6">
        <v>1.123</v>
      </c>
      <c r="C105" s="6">
        <v>1.123</v>
      </c>
      <c r="D105" s="6"/>
      <c r="E105" s="6"/>
      <c r="F105" s="6"/>
      <c r="G105" s="6"/>
      <c r="H105" s="1"/>
      <c r="I105" s="86">
        <v>26</v>
      </c>
      <c r="J105" s="46">
        <v>1.123</v>
      </c>
      <c r="K105" s="45"/>
      <c r="M105" s="43" t="s">
        <v>1870</v>
      </c>
      <c r="AF105" t="s">
        <v>2067</v>
      </c>
    </row>
    <row r="106" spans="1:32" x14ac:dyDescent="0.3">
      <c r="A106" s="43" t="s">
        <v>1871</v>
      </c>
      <c r="B106" s="6">
        <v>1.08</v>
      </c>
      <c r="C106" s="6">
        <v>1.08</v>
      </c>
      <c r="D106" s="6"/>
      <c r="E106" s="6"/>
      <c r="F106" s="6"/>
      <c r="G106" s="6"/>
      <c r="H106" s="1"/>
      <c r="I106" s="86">
        <v>27</v>
      </c>
      <c r="J106" s="46">
        <v>1.08</v>
      </c>
      <c r="K106" s="45"/>
      <c r="M106" s="43" t="s">
        <v>1871</v>
      </c>
      <c r="AF106" t="s">
        <v>2068</v>
      </c>
    </row>
    <row r="107" spans="1:32" x14ac:dyDescent="0.3">
      <c r="A107" s="43" t="s">
        <v>1872</v>
      </c>
      <c r="B107" s="6">
        <v>1.079</v>
      </c>
      <c r="C107" s="6">
        <v>1.079</v>
      </c>
      <c r="D107" s="6"/>
      <c r="E107" s="6"/>
      <c r="F107" s="6"/>
      <c r="G107" s="6"/>
      <c r="H107" s="1"/>
      <c r="I107" s="86">
        <v>28</v>
      </c>
      <c r="J107" s="45"/>
      <c r="K107" s="45"/>
      <c r="M107" s="43" t="s">
        <v>1872</v>
      </c>
      <c r="AF107" t="s">
        <v>2069</v>
      </c>
    </row>
    <row r="108" spans="1:32" x14ac:dyDescent="0.3">
      <c r="A108" s="43" t="s">
        <v>1873</v>
      </c>
      <c r="B108" s="6">
        <v>20</v>
      </c>
      <c r="C108" s="6">
        <v>20</v>
      </c>
      <c r="D108" s="6"/>
      <c r="E108" s="6"/>
      <c r="F108" s="6"/>
      <c r="G108" s="6"/>
      <c r="H108" s="1"/>
      <c r="I108" s="86">
        <v>29</v>
      </c>
      <c r="J108" s="45"/>
      <c r="K108" s="45"/>
      <c r="M108" s="43" t="s">
        <v>1873</v>
      </c>
      <c r="AF108" t="s">
        <v>2070</v>
      </c>
    </row>
    <row r="109" spans="1:32" x14ac:dyDescent="0.3">
      <c r="A109" s="43" t="s">
        <v>1874</v>
      </c>
      <c r="B109" s="6">
        <v>0.2</v>
      </c>
      <c r="C109" s="6">
        <v>0.2</v>
      </c>
      <c r="D109" s="6"/>
      <c r="E109" s="6"/>
      <c r="F109" s="6"/>
      <c r="G109" s="6"/>
      <c r="H109" s="1"/>
      <c r="I109" s="86">
        <v>30</v>
      </c>
      <c r="J109" s="45"/>
      <c r="K109" s="45"/>
      <c r="M109" s="43" t="s">
        <v>1874</v>
      </c>
      <c r="AF109" t="s">
        <v>2071</v>
      </c>
    </row>
    <row r="110" spans="1:32" x14ac:dyDescent="0.3">
      <c r="A110" s="43" t="s">
        <v>1875</v>
      </c>
      <c r="B110" s="6">
        <v>1.079</v>
      </c>
      <c r="C110" s="6">
        <v>1.079</v>
      </c>
      <c r="D110" s="6"/>
      <c r="E110" s="6"/>
      <c r="F110" s="6"/>
      <c r="G110" s="6"/>
      <c r="H110" s="1"/>
      <c r="I110" s="86">
        <v>31</v>
      </c>
      <c r="J110" s="46">
        <v>1.08</v>
      </c>
      <c r="K110" s="45"/>
      <c r="M110" s="43" t="s">
        <v>1875</v>
      </c>
      <c r="AF110" t="s">
        <v>2072</v>
      </c>
    </row>
    <row r="111" spans="1:32" x14ac:dyDescent="0.3">
      <c r="A111" s="43" t="s">
        <v>1876</v>
      </c>
      <c r="B111" s="6">
        <v>4</v>
      </c>
      <c r="C111" s="6">
        <v>4</v>
      </c>
      <c r="D111" s="6"/>
      <c r="E111" s="6"/>
      <c r="F111" s="6"/>
      <c r="G111" s="6"/>
      <c r="H111" s="1"/>
      <c r="I111" s="86">
        <v>32</v>
      </c>
      <c r="J111" s="45"/>
      <c r="K111" s="45"/>
      <c r="M111" s="43" t="s">
        <v>1876</v>
      </c>
      <c r="AF111" t="s">
        <v>2073</v>
      </c>
    </row>
    <row r="112" spans="1:32" x14ac:dyDescent="0.3">
      <c r="A112" s="43" t="s">
        <v>1877</v>
      </c>
      <c r="B112" s="6">
        <v>3.5000000000000003E-2</v>
      </c>
      <c r="C112" s="6">
        <v>3.5000000000000003E-2</v>
      </c>
      <c r="D112" s="6"/>
      <c r="E112" s="6"/>
      <c r="F112" s="6"/>
      <c r="G112" s="6"/>
      <c r="H112" s="1"/>
      <c r="I112" s="86">
        <v>33</v>
      </c>
      <c r="J112" s="46">
        <v>3.5000000000000003E-2</v>
      </c>
      <c r="K112" s="46" t="s">
        <v>2390</v>
      </c>
      <c r="M112" s="43" t="s">
        <v>1877</v>
      </c>
      <c r="AF112" t="s">
        <v>2074</v>
      </c>
    </row>
    <row r="113" spans="1:32" x14ac:dyDescent="0.3">
      <c r="A113" s="43" t="s">
        <v>1878</v>
      </c>
      <c r="B113" s="6">
        <v>1.8E-3</v>
      </c>
      <c r="C113" s="6">
        <v>1.8E-3</v>
      </c>
      <c r="D113" s="6"/>
      <c r="E113" s="6"/>
      <c r="F113" s="6"/>
      <c r="G113" s="6"/>
      <c r="H113" s="1"/>
      <c r="I113" s="86">
        <v>34</v>
      </c>
      <c r="J113" s="46">
        <v>1.8E-3</v>
      </c>
      <c r="K113" s="46" t="s">
        <v>2392</v>
      </c>
      <c r="M113" s="43" t="s">
        <v>1878</v>
      </c>
      <c r="AF113" t="s">
        <v>2075</v>
      </c>
    </row>
    <row r="114" spans="1:32" x14ac:dyDescent="0.3">
      <c r="A114" s="43" t="s">
        <v>1879</v>
      </c>
      <c r="B114" s="6">
        <v>0</v>
      </c>
      <c r="C114" s="6">
        <v>0</v>
      </c>
      <c r="D114" s="6"/>
      <c r="E114" s="6"/>
      <c r="F114" s="6"/>
      <c r="G114" s="6"/>
      <c r="H114" s="1"/>
      <c r="I114" s="86">
        <v>35</v>
      </c>
      <c r="J114" s="46">
        <v>0</v>
      </c>
      <c r="K114" s="46"/>
      <c r="M114" s="43" t="s">
        <v>1879</v>
      </c>
      <c r="AF114" t="s">
        <v>2076</v>
      </c>
    </row>
    <row r="115" spans="1:32" x14ac:dyDescent="0.3">
      <c r="A115" s="43" t="s">
        <v>1880</v>
      </c>
      <c r="B115" s="6">
        <v>3.5000000000000003E-2</v>
      </c>
      <c r="C115" s="6">
        <v>3.5000000000000003E-2</v>
      </c>
      <c r="D115" s="6"/>
      <c r="E115" s="6"/>
      <c r="F115" s="6"/>
      <c r="G115" s="6"/>
      <c r="H115" s="1"/>
      <c r="I115" s="86">
        <v>36</v>
      </c>
      <c r="J115" s="46">
        <v>3.5000000000000003E-2</v>
      </c>
      <c r="K115" s="45"/>
      <c r="M115" s="43" t="s">
        <v>1880</v>
      </c>
      <c r="AF115" t="s">
        <v>2077</v>
      </c>
    </row>
    <row r="116" spans="1:32" x14ac:dyDescent="0.3">
      <c r="A116" s="43" t="s">
        <v>1881</v>
      </c>
      <c r="B116" s="6">
        <v>1.8E-3</v>
      </c>
      <c r="C116" s="6">
        <v>1.8E-3</v>
      </c>
      <c r="D116" s="6"/>
      <c r="E116" s="6"/>
      <c r="F116" s="6"/>
      <c r="G116" s="6"/>
      <c r="H116" s="1"/>
      <c r="I116" s="86">
        <v>37</v>
      </c>
      <c r="J116" s="46">
        <v>1.8E-3</v>
      </c>
      <c r="K116" s="45"/>
      <c r="M116" s="43" t="s">
        <v>1881</v>
      </c>
      <c r="AF116" t="s">
        <v>2078</v>
      </c>
    </row>
    <row r="117" spans="1:32" x14ac:dyDescent="0.3">
      <c r="A117" s="43" t="s">
        <v>1882</v>
      </c>
      <c r="B117" s="6">
        <v>0</v>
      </c>
      <c r="C117" s="6">
        <v>0</v>
      </c>
      <c r="D117" s="6"/>
      <c r="E117" s="6"/>
      <c r="F117" s="6"/>
      <c r="G117" s="6"/>
      <c r="H117" s="1"/>
      <c r="I117" s="86">
        <v>38</v>
      </c>
      <c r="J117" s="45">
        <v>0</v>
      </c>
      <c r="K117" s="45"/>
      <c r="M117" s="43" t="s">
        <v>1882</v>
      </c>
      <c r="AF117" t="s">
        <v>2079</v>
      </c>
    </row>
    <row r="118" spans="1:32" x14ac:dyDescent="0.3">
      <c r="A118" s="43" t="s">
        <v>1883</v>
      </c>
      <c r="B118" s="6">
        <v>3.5000000000000003E-2</v>
      </c>
      <c r="C118" s="6">
        <v>3.5000000000000003E-2</v>
      </c>
      <c r="D118" s="6"/>
      <c r="E118" s="6"/>
      <c r="F118" s="6"/>
      <c r="G118" s="6"/>
      <c r="H118" s="1"/>
      <c r="I118" s="86">
        <v>39</v>
      </c>
      <c r="J118" s="46">
        <v>3.5000000000000003E-2</v>
      </c>
      <c r="K118" s="45"/>
      <c r="M118" s="43" t="s">
        <v>1883</v>
      </c>
      <c r="AF118" t="s">
        <v>2080</v>
      </c>
    </row>
    <row r="119" spans="1:32" x14ac:dyDescent="0.3">
      <c r="A119" s="43" t="s">
        <v>1884</v>
      </c>
      <c r="B119" s="6">
        <v>1.8E-3</v>
      </c>
      <c r="C119" s="6">
        <v>1.8E-3</v>
      </c>
      <c r="D119" s="6"/>
      <c r="E119" s="6"/>
      <c r="F119" s="6"/>
      <c r="G119" s="6"/>
      <c r="H119" s="1"/>
      <c r="I119" s="86">
        <v>40</v>
      </c>
      <c r="J119" s="46">
        <v>1.8E-3</v>
      </c>
      <c r="K119" s="45"/>
      <c r="M119" s="43" t="s">
        <v>1884</v>
      </c>
      <c r="AF119" t="s">
        <v>2081</v>
      </c>
    </row>
    <row r="120" spans="1:32" x14ac:dyDescent="0.3">
      <c r="A120" s="43" t="s">
        <v>1885</v>
      </c>
      <c r="B120" s="6">
        <v>0</v>
      </c>
      <c r="C120" s="6">
        <v>0</v>
      </c>
      <c r="D120" s="6"/>
      <c r="E120" s="6"/>
      <c r="F120" s="6"/>
      <c r="G120" s="6"/>
      <c r="H120" s="1"/>
      <c r="I120" s="86">
        <v>41</v>
      </c>
      <c r="J120" s="45">
        <v>0</v>
      </c>
      <c r="K120" s="45"/>
      <c r="M120" s="43" t="s">
        <v>1885</v>
      </c>
      <c r="AF120" t="s">
        <v>2082</v>
      </c>
    </row>
    <row r="121" spans="1:32" x14ac:dyDescent="0.3">
      <c r="A121" s="43" t="s">
        <v>1886</v>
      </c>
      <c r="B121" s="6">
        <v>1.1000000000000001</v>
      </c>
      <c r="C121" s="6">
        <v>1.1000000000000001</v>
      </c>
      <c r="D121" s="6"/>
      <c r="E121" s="6"/>
      <c r="F121" s="6"/>
      <c r="G121" s="6"/>
      <c r="H121" s="1"/>
      <c r="I121" s="86">
        <v>42</v>
      </c>
      <c r="J121" s="46">
        <v>1.1000000000000001</v>
      </c>
      <c r="K121" s="46"/>
      <c r="M121" s="43" t="s">
        <v>1886</v>
      </c>
      <c r="AF121" t="s">
        <v>2083</v>
      </c>
    </row>
    <row r="122" spans="1:32" x14ac:dyDescent="0.3">
      <c r="A122" s="43" t="s">
        <v>1887</v>
      </c>
      <c r="B122" s="6">
        <v>1.1499999999999999</v>
      </c>
      <c r="C122" s="6">
        <v>1.1499999999999999</v>
      </c>
      <c r="D122" s="6"/>
      <c r="E122" s="6"/>
      <c r="F122" s="6"/>
      <c r="G122" s="6"/>
      <c r="H122" s="1"/>
      <c r="I122" s="86">
        <v>43</v>
      </c>
      <c r="J122" s="46">
        <v>1.1499999999999999</v>
      </c>
      <c r="K122" s="46"/>
      <c r="M122" s="43" t="s">
        <v>1887</v>
      </c>
      <c r="AF122" t="s">
        <v>2084</v>
      </c>
    </row>
    <row r="123" spans="1:32" x14ac:dyDescent="0.3">
      <c r="A123" s="43" t="s">
        <v>1888</v>
      </c>
      <c r="B123" s="6">
        <v>1</v>
      </c>
      <c r="C123" s="6">
        <v>1</v>
      </c>
      <c r="D123" s="6"/>
      <c r="E123" s="6"/>
      <c r="F123" s="6"/>
      <c r="G123" s="6"/>
      <c r="H123" s="1"/>
      <c r="I123" s="86">
        <v>44</v>
      </c>
      <c r="J123" s="46">
        <v>1</v>
      </c>
      <c r="K123" s="46"/>
      <c r="M123" s="43" t="s">
        <v>1888</v>
      </c>
      <c r="AF123" t="s">
        <v>2085</v>
      </c>
    </row>
    <row r="124" spans="1:32" x14ac:dyDescent="0.3">
      <c r="A124" s="43" t="s">
        <v>1889</v>
      </c>
      <c r="B124" s="6">
        <v>1.1000000000000001</v>
      </c>
      <c r="C124" s="6">
        <v>1.1000000000000001</v>
      </c>
      <c r="D124" s="6"/>
      <c r="E124" s="6"/>
      <c r="F124" s="6"/>
      <c r="G124" s="6"/>
      <c r="H124" s="1"/>
      <c r="I124" s="86">
        <v>45</v>
      </c>
      <c r="J124" s="45"/>
      <c r="K124" s="45"/>
      <c r="M124" s="43" t="s">
        <v>1889</v>
      </c>
      <c r="AF124" t="s">
        <v>2086</v>
      </c>
    </row>
    <row r="125" spans="1:32" x14ac:dyDescent="0.3">
      <c r="A125" s="43" t="s">
        <v>1890</v>
      </c>
      <c r="B125" s="6">
        <v>1.1499999999999999</v>
      </c>
      <c r="C125" s="6">
        <v>1.1499999999999999</v>
      </c>
      <c r="D125" s="6"/>
      <c r="E125" s="6"/>
      <c r="F125" s="6"/>
      <c r="G125" s="6"/>
      <c r="H125" s="1"/>
      <c r="I125" s="86">
        <v>46</v>
      </c>
      <c r="J125" s="46">
        <v>1.1499999999999999</v>
      </c>
      <c r="K125" s="45"/>
      <c r="M125" s="43" t="s">
        <v>1890</v>
      </c>
      <c r="AF125" t="s">
        <v>2087</v>
      </c>
    </row>
    <row r="126" spans="1:32" x14ac:dyDescent="0.3">
      <c r="A126" s="43" t="s">
        <v>1891</v>
      </c>
      <c r="B126" s="6">
        <v>1</v>
      </c>
      <c r="C126" s="6">
        <v>1</v>
      </c>
      <c r="D126" s="6"/>
      <c r="E126" s="6"/>
      <c r="F126" s="6"/>
      <c r="G126" s="6"/>
      <c r="H126" s="1"/>
      <c r="I126" s="86">
        <v>47</v>
      </c>
      <c r="J126" s="46">
        <v>1</v>
      </c>
      <c r="K126" s="45"/>
      <c r="M126" s="43" t="s">
        <v>1891</v>
      </c>
      <c r="AF126" t="s">
        <v>2088</v>
      </c>
    </row>
    <row r="127" spans="1:32" x14ac:dyDescent="0.3">
      <c r="A127" s="43" t="s">
        <v>1892</v>
      </c>
      <c r="B127" s="6">
        <v>1.1000000000000001</v>
      </c>
      <c r="C127" s="6">
        <v>1.1000000000000001</v>
      </c>
      <c r="D127" s="6"/>
      <c r="E127" s="6"/>
      <c r="F127" s="6"/>
      <c r="G127" s="6"/>
      <c r="H127" s="1"/>
      <c r="I127" s="86">
        <v>48</v>
      </c>
      <c r="J127" s="45"/>
      <c r="K127" s="45"/>
      <c r="M127" s="43" t="s">
        <v>1892</v>
      </c>
      <c r="AF127" t="s">
        <v>2089</v>
      </c>
    </row>
    <row r="128" spans="1:32" x14ac:dyDescent="0.3">
      <c r="A128" s="43" t="s">
        <v>1893</v>
      </c>
      <c r="B128" s="6">
        <v>1.1499999999999999</v>
      </c>
      <c r="C128" s="6">
        <v>1.1499999999999999</v>
      </c>
      <c r="D128" s="6"/>
      <c r="E128" s="6"/>
      <c r="F128" s="6"/>
      <c r="G128" s="6"/>
      <c r="H128" s="1"/>
      <c r="I128" s="86">
        <v>49</v>
      </c>
      <c r="J128" s="46">
        <v>1.1499999999999999</v>
      </c>
      <c r="K128" s="45"/>
      <c r="M128" s="43" t="s">
        <v>1893</v>
      </c>
      <c r="AF128" t="s">
        <v>2090</v>
      </c>
    </row>
    <row r="129" spans="1:32" x14ac:dyDescent="0.3">
      <c r="A129" s="43" t="s">
        <v>1894</v>
      </c>
      <c r="B129" s="6">
        <v>1</v>
      </c>
      <c r="C129" s="6">
        <v>1</v>
      </c>
      <c r="D129" s="6"/>
      <c r="E129" s="6"/>
      <c r="F129" s="6"/>
      <c r="G129" s="6"/>
      <c r="H129" s="1"/>
      <c r="I129" s="86">
        <v>50</v>
      </c>
      <c r="J129" s="46">
        <v>1</v>
      </c>
      <c r="K129" s="45"/>
      <c r="M129" s="43" t="s">
        <v>1894</v>
      </c>
      <c r="AF129" t="s">
        <v>2091</v>
      </c>
    </row>
    <row r="130" spans="1:32" x14ac:dyDescent="0.3">
      <c r="A130" s="43" t="s">
        <v>1895</v>
      </c>
      <c r="B130" s="6">
        <v>0.02</v>
      </c>
      <c r="C130" s="6">
        <v>0.02</v>
      </c>
      <c r="D130" s="6"/>
      <c r="E130" s="6"/>
      <c r="F130" s="6"/>
      <c r="G130" s="6"/>
      <c r="H130" s="1"/>
      <c r="I130" s="86">
        <v>51</v>
      </c>
      <c r="J130" s="45"/>
      <c r="K130" s="45"/>
      <c r="M130" s="43" t="s">
        <v>1895</v>
      </c>
      <c r="AF130" t="s">
        <v>2092</v>
      </c>
    </row>
    <row r="131" spans="1:32" x14ac:dyDescent="0.3">
      <c r="A131" s="43" t="s">
        <v>1896</v>
      </c>
      <c r="B131" s="6">
        <v>0</v>
      </c>
      <c r="C131" s="6">
        <v>0</v>
      </c>
      <c r="D131" s="6"/>
      <c r="E131" s="6"/>
      <c r="F131" s="6"/>
      <c r="G131" s="6"/>
      <c r="H131" s="1"/>
      <c r="I131" s="86">
        <v>52</v>
      </c>
      <c r="J131" s="45"/>
      <c r="K131" s="45"/>
      <c r="M131" s="43" t="s">
        <v>1896</v>
      </c>
      <c r="AF131" t="s">
        <v>2093</v>
      </c>
    </row>
    <row r="132" spans="1:32" x14ac:dyDescent="0.3">
      <c r="A132" s="43" t="s">
        <v>1897</v>
      </c>
      <c r="B132" s="6">
        <v>0.01</v>
      </c>
      <c r="C132" s="6">
        <v>0.01</v>
      </c>
      <c r="D132" s="6"/>
      <c r="E132" s="6"/>
      <c r="F132" s="6"/>
      <c r="G132" s="6"/>
      <c r="H132" s="1"/>
      <c r="I132" s="86">
        <v>53</v>
      </c>
      <c r="J132" s="45"/>
      <c r="K132" s="45"/>
      <c r="M132" s="43" t="s">
        <v>1897</v>
      </c>
      <c r="AF132" t="s">
        <v>2094</v>
      </c>
    </row>
    <row r="133" spans="1:32" x14ac:dyDescent="0.3">
      <c r="A133" s="43" t="s">
        <v>1898</v>
      </c>
      <c r="B133" s="6">
        <v>1E-3</v>
      </c>
      <c r="C133" s="6">
        <v>1E-3</v>
      </c>
      <c r="D133" s="6"/>
      <c r="E133" s="6"/>
      <c r="F133" s="6"/>
      <c r="G133" s="6"/>
      <c r="H133" s="1"/>
      <c r="I133" s="86">
        <v>54</v>
      </c>
      <c r="J133" s="45"/>
      <c r="K133" s="45"/>
      <c r="M133" s="43" t="s">
        <v>1898</v>
      </c>
      <c r="AF133" t="s">
        <v>2095</v>
      </c>
    </row>
    <row r="134" spans="1:32" x14ac:dyDescent="0.3">
      <c r="A134" s="43" t="s">
        <v>1899</v>
      </c>
      <c r="B134" s="6">
        <v>1E-3</v>
      </c>
      <c r="C134" s="6">
        <v>1E-3</v>
      </c>
      <c r="D134" s="6"/>
      <c r="E134" s="6"/>
      <c r="F134" s="6"/>
      <c r="G134" s="6"/>
      <c r="H134" s="1"/>
      <c r="I134" s="86">
        <v>55</v>
      </c>
      <c r="J134" s="45"/>
      <c r="K134" s="45"/>
      <c r="M134" s="43" t="s">
        <v>1899</v>
      </c>
      <c r="AF134" t="s">
        <v>2096</v>
      </c>
    </row>
    <row r="135" spans="1:32" x14ac:dyDescent="0.3">
      <c r="A135" s="43" t="s">
        <v>1900</v>
      </c>
      <c r="B135" s="6">
        <v>0.1</v>
      </c>
      <c r="C135" s="6">
        <v>0.1</v>
      </c>
      <c r="D135" s="6"/>
      <c r="E135" s="6"/>
      <c r="F135" s="6"/>
      <c r="G135" s="6"/>
      <c r="H135" s="1"/>
      <c r="I135" s="86">
        <v>56</v>
      </c>
      <c r="J135" s="45"/>
      <c r="K135" s="45"/>
      <c r="M135" s="43" t="s">
        <v>1900</v>
      </c>
      <c r="AF135" t="s">
        <v>2097</v>
      </c>
    </row>
    <row r="136" spans="1:32" x14ac:dyDescent="0.3">
      <c r="A136" s="43" t="s">
        <v>1901</v>
      </c>
      <c r="B136" s="6">
        <v>0.1</v>
      </c>
      <c r="C136" s="6">
        <v>0.1</v>
      </c>
      <c r="D136" s="6"/>
      <c r="E136" s="6"/>
      <c r="F136" s="6"/>
      <c r="G136" s="6"/>
      <c r="H136" s="1"/>
      <c r="I136" s="86">
        <v>57</v>
      </c>
      <c r="J136" s="45"/>
      <c r="K136" s="45"/>
      <c r="M136" s="43" t="s">
        <v>1901</v>
      </c>
      <c r="AF136" t="s">
        <v>2098</v>
      </c>
    </row>
    <row r="137" spans="1:32" ht="28.8" x14ac:dyDescent="0.3">
      <c r="A137" s="85" t="s">
        <v>2111</v>
      </c>
      <c r="B137" s="6">
        <v>1</v>
      </c>
      <c r="C137" s="6">
        <v>0</v>
      </c>
      <c r="D137" s="6"/>
      <c r="E137" s="6"/>
      <c r="F137" s="6"/>
      <c r="G137" s="6"/>
      <c r="H137" s="1"/>
      <c r="I137" s="86">
        <v>58</v>
      </c>
      <c r="AD137" t="s">
        <v>2099</v>
      </c>
    </row>
    <row r="138" spans="1:32" x14ac:dyDescent="0.3">
      <c r="A138" s="11" t="s">
        <v>1953</v>
      </c>
      <c r="B138" s="6">
        <v>5.0000000000000002E-5</v>
      </c>
      <c r="C138" s="6">
        <v>5.0000000000000002E-5</v>
      </c>
      <c r="D138" s="6"/>
      <c r="E138" s="6"/>
      <c r="F138" s="6"/>
      <c r="G138" s="6"/>
      <c r="H138" s="1"/>
      <c r="I138" s="86">
        <v>59</v>
      </c>
      <c r="AD138" t="s">
        <v>2100</v>
      </c>
    </row>
    <row r="139" spans="1:32" x14ac:dyDescent="0.3">
      <c r="A139" s="11" t="s">
        <v>1954</v>
      </c>
      <c r="B139" s="6">
        <v>0.01</v>
      </c>
      <c r="C139" s="6">
        <v>0.01</v>
      </c>
      <c r="D139" s="6"/>
      <c r="E139" s="6"/>
      <c r="F139" s="6"/>
      <c r="G139" s="6"/>
      <c r="H139" s="1"/>
      <c r="I139" s="86">
        <v>60</v>
      </c>
      <c r="AD139" t="s">
        <v>2101</v>
      </c>
    </row>
    <row r="140" spans="1:32" x14ac:dyDescent="0.3">
      <c r="A140" s="11" t="s">
        <v>1955</v>
      </c>
      <c r="B140" s="6">
        <v>5.0000000000000002E-5</v>
      </c>
      <c r="C140" s="6">
        <v>5.0000000000000002E-5</v>
      </c>
      <c r="D140" s="6"/>
      <c r="E140" s="6"/>
      <c r="F140" s="6"/>
      <c r="G140" s="6"/>
      <c r="H140" s="1"/>
      <c r="I140" s="86">
        <v>61</v>
      </c>
      <c r="AD140" t="s">
        <v>2102</v>
      </c>
    </row>
    <row r="141" spans="1:32" x14ac:dyDescent="0.3">
      <c r="A141" s="11" t="s">
        <v>1956</v>
      </c>
      <c r="B141" s="6">
        <v>0.01</v>
      </c>
      <c r="C141" s="6">
        <v>0.01</v>
      </c>
      <c r="D141" s="6"/>
      <c r="E141" s="6"/>
      <c r="F141" s="6"/>
      <c r="G141" s="6"/>
      <c r="H141" s="1"/>
      <c r="I141" s="86">
        <v>62</v>
      </c>
      <c r="AD141" t="s">
        <v>2103</v>
      </c>
    </row>
    <row r="142" spans="1:32" x14ac:dyDescent="0.3">
      <c r="A142" s="43" t="s">
        <v>1902</v>
      </c>
      <c r="B142" s="6" t="s">
        <v>1823</v>
      </c>
      <c r="C142" s="43"/>
      <c r="D142" s="43"/>
      <c r="E142" s="43"/>
      <c r="F142" s="43"/>
      <c r="AD142" t="s">
        <v>2104</v>
      </c>
    </row>
    <row r="143" spans="1:32" x14ac:dyDescent="0.3">
      <c r="A143" s="43" t="s">
        <v>1903</v>
      </c>
      <c r="B143" s="6">
        <v>1</v>
      </c>
      <c r="C143" s="43"/>
      <c r="D143" s="43"/>
      <c r="E143" s="43"/>
      <c r="F143" s="43"/>
      <c r="AD143" t="s">
        <v>2105</v>
      </c>
    </row>
    <row r="144" spans="1:32" x14ac:dyDescent="0.3">
      <c r="A144" s="90" t="s">
        <v>2408</v>
      </c>
      <c r="B144" s="35">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5" t="s">
        <v>1330</v>
      </c>
      <c r="B1" s="15"/>
      <c r="C1" s="15"/>
      <c r="D1" s="15"/>
      <c r="E1" s="15"/>
      <c r="F1" s="15"/>
      <c r="G1" s="15"/>
      <c r="H1" s="15"/>
      <c r="I1" s="15"/>
      <c r="J1" s="15"/>
      <c r="K1" s="15"/>
    </row>
    <row r="2" spans="1:13" x14ac:dyDescent="0.3">
      <c r="A2" s="15" t="s">
        <v>1352</v>
      </c>
      <c r="B2" s="15" t="s">
        <v>1353</v>
      </c>
      <c r="C2" s="15" t="s">
        <v>1354</v>
      </c>
      <c r="D2" s="15"/>
      <c r="E2" s="15"/>
      <c r="F2" s="15"/>
      <c r="G2" s="15"/>
      <c r="H2" s="15"/>
      <c r="I2" s="15"/>
      <c r="J2" s="15"/>
      <c r="K2" s="15"/>
      <c r="M2" t="s">
        <v>1673</v>
      </c>
    </row>
    <row r="3" spans="1:13" x14ac:dyDescent="0.3">
      <c r="A3" s="6">
        <v>1</v>
      </c>
      <c r="B3" s="6" t="s">
        <v>1331</v>
      </c>
      <c r="C3" s="15"/>
      <c r="D3" s="15"/>
      <c r="E3" s="15"/>
      <c r="F3" s="15"/>
      <c r="G3" s="15"/>
      <c r="H3" s="15"/>
      <c r="I3" s="15"/>
      <c r="J3" s="15"/>
      <c r="K3" s="15"/>
      <c r="M3" s="66" t="s">
        <v>1672</v>
      </c>
    </row>
    <row r="4" spans="1:13" x14ac:dyDescent="0.3">
      <c r="A4" s="15"/>
      <c r="B4" s="15" t="s">
        <v>1343</v>
      </c>
      <c r="C4" s="15" t="s">
        <v>1344</v>
      </c>
      <c r="D4" s="15" t="s">
        <v>1345</v>
      </c>
      <c r="E4" s="15" t="s">
        <v>1346</v>
      </c>
      <c r="F4" s="15" t="s">
        <v>1347</v>
      </c>
      <c r="G4" s="15" t="s">
        <v>1348</v>
      </c>
      <c r="H4" s="15" t="s">
        <v>1349</v>
      </c>
      <c r="I4" s="15" t="s">
        <v>1349</v>
      </c>
      <c r="J4" s="15" t="s">
        <v>1350</v>
      </c>
      <c r="K4" s="15" t="s">
        <v>1351</v>
      </c>
    </row>
    <row r="5" spans="1:13" x14ac:dyDescent="0.3">
      <c r="A5" s="15" t="s">
        <v>1332</v>
      </c>
      <c r="B5" s="15" t="s">
        <v>1333</v>
      </c>
      <c r="C5" s="15" t="s">
        <v>1334</v>
      </c>
      <c r="D5" s="15" t="s">
        <v>1335</v>
      </c>
      <c r="E5" s="15" t="s">
        <v>1336</v>
      </c>
      <c r="F5" s="15" t="s">
        <v>1337</v>
      </c>
      <c r="G5" s="15" t="s">
        <v>1338</v>
      </c>
      <c r="H5" s="15" t="s">
        <v>1339</v>
      </c>
      <c r="I5" s="15" t="s">
        <v>1340</v>
      </c>
      <c r="J5" s="15" t="s">
        <v>1341</v>
      </c>
      <c r="K5" s="15" t="s">
        <v>1342</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4"/>
  <sheetViews>
    <sheetView zoomScale="90" zoomScaleNormal="90" workbookViewId="0">
      <selection activeCell="P43" sqref="P43"/>
    </sheetView>
  </sheetViews>
  <sheetFormatPr defaultRowHeight="14.4" x14ac:dyDescent="0.3"/>
  <cols>
    <col min="1" max="1" width="10.109375" customWidth="1"/>
    <col min="12" max="12" width="9" customWidth="1"/>
  </cols>
  <sheetData>
    <row r="1" spans="1:17" x14ac:dyDescent="0.3">
      <c r="A1" s="11" t="s">
        <v>1356</v>
      </c>
      <c r="B1" s="11"/>
      <c r="C1" s="11"/>
      <c r="D1" s="11"/>
      <c r="E1" s="11"/>
      <c r="F1" s="11"/>
      <c r="G1" s="11"/>
      <c r="H1" s="11"/>
      <c r="I1" s="11"/>
      <c r="J1" s="11"/>
      <c r="K1" s="12"/>
    </row>
    <row r="2" spans="1:17" x14ac:dyDescent="0.3">
      <c r="A2" s="11" t="s">
        <v>2268</v>
      </c>
      <c r="B2" s="11" t="s">
        <v>1373</v>
      </c>
      <c r="C2" s="11" t="s">
        <v>12</v>
      </c>
      <c r="D2" s="11" t="s">
        <v>1357</v>
      </c>
      <c r="E2" s="11" t="s">
        <v>1358</v>
      </c>
      <c r="F2" s="11" t="s">
        <v>2270</v>
      </c>
      <c r="G2" s="11" t="s">
        <v>2271</v>
      </c>
      <c r="H2" s="11" t="s">
        <v>2272</v>
      </c>
      <c r="I2" s="11" t="s">
        <v>2273</v>
      </c>
      <c r="J2" s="11" t="s">
        <v>2274</v>
      </c>
      <c r="K2" s="11" t="s">
        <v>2275</v>
      </c>
      <c r="M2" t="s">
        <v>1673</v>
      </c>
    </row>
    <row r="3" spans="1:17" x14ac:dyDescent="0.3">
      <c r="A3" s="6">
        <v>1</v>
      </c>
      <c r="B3" s="6">
        <v>20</v>
      </c>
      <c r="C3" s="6" t="s">
        <v>17</v>
      </c>
      <c r="D3" s="6">
        <v>100</v>
      </c>
      <c r="E3" s="6">
        <v>150</v>
      </c>
      <c r="F3" s="6">
        <v>5</v>
      </c>
      <c r="G3" s="6">
        <v>25</v>
      </c>
      <c r="H3" s="6"/>
      <c r="I3" s="6"/>
      <c r="J3" s="6"/>
      <c r="K3" s="6"/>
      <c r="M3" s="66" t="s">
        <v>1672</v>
      </c>
    </row>
    <row r="4" spans="1:17" x14ac:dyDescent="0.3">
      <c r="A4" s="11" t="s">
        <v>2269</v>
      </c>
      <c r="B4" s="11"/>
      <c r="C4" s="11"/>
      <c r="D4" s="11"/>
      <c r="E4" s="11"/>
      <c r="F4" s="11"/>
      <c r="G4" s="11"/>
      <c r="H4" s="11"/>
      <c r="I4" s="11"/>
      <c r="J4" s="11"/>
      <c r="K4" s="12"/>
    </row>
    <row r="5" spans="1:17" x14ac:dyDescent="0.3">
      <c r="A5" s="11" t="s">
        <v>1359</v>
      </c>
      <c r="B5" s="11" t="s">
        <v>1360</v>
      </c>
      <c r="C5" s="11" t="s">
        <v>1361</v>
      </c>
      <c r="D5" s="11" t="s">
        <v>1362</v>
      </c>
      <c r="E5" s="11" t="s">
        <v>1363</v>
      </c>
      <c r="F5" s="11" t="s">
        <v>1364</v>
      </c>
      <c r="G5" s="11" t="s">
        <v>1365</v>
      </c>
      <c r="H5" s="11" t="s">
        <v>1366</v>
      </c>
      <c r="I5" s="11" t="s">
        <v>1367</v>
      </c>
      <c r="J5" s="11"/>
      <c r="K5" s="12"/>
    </row>
    <row r="6" spans="1:17" x14ac:dyDescent="0.3">
      <c r="A6" s="6" t="s">
        <v>17</v>
      </c>
      <c r="B6" s="6">
        <v>0.05</v>
      </c>
      <c r="C6" s="6">
        <v>0.5</v>
      </c>
      <c r="D6" s="6" t="s">
        <v>1368</v>
      </c>
      <c r="E6" s="6">
        <v>1</v>
      </c>
      <c r="F6" s="6">
        <v>30</v>
      </c>
      <c r="G6" s="6" t="s">
        <v>17</v>
      </c>
      <c r="H6" s="6">
        <v>10</v>
      </c>
      <c r="I6" s="6">
        <v>120</v>
      </c>
      <c r="J6" s="11"/>
      <c r="K6" s="12"/>
    </row>
    <row r="7" spans="1:17" x14ac:dyDescent="0.3">
      <c r="A7" s="11"/>
      <c r="B7" s="11"/>
      <c r="C7" s="11"/>
      <c r="D7" s="11"/>
      <c r="E7" s="11"/>
      <c r="F7" s="11"/>
      <c r="G7" s="11"/>
      <c r="H7" s="11"/>
      <c r="I7" s="11"/>
      <c r="J7" s="11"/>
      <c r="K7" s="12"/>
    </row>
    <row r="8" spans="1:17" x14ac:dyDescent="0.3">
      <c r="A8" s="11" t="s">
        <v>1369</v>
      </c>
      <c r="B8" s="11" t="s">
        <v>1370</v>
      </c>
      <c r="C8" s="11" t="s">
        <v>1371</v>
      </c>
      <c r="D8" s="11" t="s">
        <v>1372</v>
      </c>
      <c r="E8" s="11"/>
      <c r="F8" s="11"/>
      <c r="G8" s="11"/>
      <c r="H8" s="11"/>
      <c r="I8" s="11"/>
      <c r="J8" s="11"/>
      <c r="K8" s="12"/>
    </row>
    <row r="9" spans="1:17" x14ac:dyDescent="0.3">
      <c r="A9" s="6" t="s">
        <v>1106</v>
      </c>
      <c r="B9" s="5" t="s">
        <v>17</v>
      </c>
      <c r="C9" s="5">
        <v>1</v>
      </c>
      <c r="D9" s="5">
        <v>20</v>
      </c>
      <c r="E9" s="11"/>
      <c r="F9" s="11"/>
      <c r="G9" s="11"/>
      <c r="H9" s="11"/>
      <c r="I9" s="11"/>
      <c r="J9" s="11"/>
      <c r="K9" s="12"/>
      <c r="O9" s="6" t="s">
        <v>1106</v>
      </c>
      <c r="Q9" s="100" t="s">
        <v>1377</v>
      </c>
    </row>
    <row r="10" spans="1:17" x14ac:dyDescent="0.3">
      <c r="A10" s="6" t="s">
        <v>2420</v>
      </c>
      <c r="B10" s="5" t="s">
        <v>2</v>
      </c>
      <c r="C10" s="5">
        <v>1</v>
      </c>
      <c r="D10" s="5">
        <v>20</v>
      </c>
      <c r="E10" s="11"/>
      <c r="F10" s="11"/>
      <c r="G10" s="11"/>
      <c r="H10" s="11"/>
      <c r="I10" s="11"/>
      <c r="J10" s="11"/>
      <c r="K10" s="12"/>
      <c r="O10" s="6" t="s">
        <v>2420</v>
      </c>
      <c r="Q10" s="100" t="s">
        <v>1378</v>
      </c>
    </row>
    <row r="11" spans="1:17" x14ac:dyDescent="0.3">
      <c r="A11" s="6" t="s">
        <v>1581</v>
      </c>
      <c r="B11" s="5" t="s">
        <v>2</v>
      </c>
      <c r="C11" s="5">
        <v>1</v>
      </c>
      <c r="D11" s="5">
        <v>20</v>
      </c>
      <c r="E11" s="11"/>
      <c r="F11" s="11"/>
      <c r="G11" s="11"/>
      <c r="H11" s="11"/>
      <c r="I11" s="11"/>
      <c r="J11" s="11"/>
      <c r="K11" s="12"/>
      <c r="O11" s="6" t="s">
        <v>1581</v>
      </c>
      <c r="Q11" s="100" t="s">
        <v>1379</v>
      </c>
    </row>
    <row r="12" spans="1:17" x14ac:dyDescent="0.3">
      <c r="A12" s="6" t="s">
        <v>1582</v>
      </c>
      <c r="B12" s="5" t="s">
        <v>2</v>
      </c>
      <c r="C12" s="5">
        <v>1</v>
      </c>
      <c r="D12" s="5">
        <v>20</v>
      </c>
      <c r="E12" s="11"/>
      <c r="F12" s="11"/>
      <c r="G12" s="11"/>
      <c r="H12" s="11"/>
      <c r="I12" s="11"/>
      <c r="J12" s="11"/>
      <c r="K12" s="12"/>
      <c r="O12" s="6" t="s">
        <v>1582</v>
      </c>
      <c r="Q12" t="s">
        <v>1657</v>
      </c>
    </row>
    <row r="13" spans="1:17" x14ac:dyDescent="0.3">
      <c r="A13" s="6" t="s">
        <v>1583</v>
      </c>
      <c r="B13" s="5" t="s">
        <v>2</v>
      </c>
      <c r="C13" s="5">
        <v>1</v>
      </c>
      <c r="D13" s="5">
        <v>20</v>
      </c>
      <c r="E13" s="11"/>
      <c r="F13" s="11"/>
      <c r="G13" s="11"/>
      <c r="H13" s="11"/>
      <c r="I13" s="11"/>
      <c r="J13" s="11"/>
      <c r="K13" s="12"/>
      <c r="O13" s="6" t="s">
        <v>1583</v>
      </c>
      <c r="Q13" s="18">
        <f>'Required Constituent Order'!B68</f>
        <v>66</v>
      </c>
    </row>
    <row r="14" spans="1:17" x14ac:dyDescent="0.3">
      <c r="A14" s="6" t="s">
        <v>1585</v>
      </c>
      <c r="B14" s="5" t="s">
        <v>17</v>
      </c>
      <c r="C14" s="5">
        <v>1</v>
      </c>
      <c r="D14" s="5">
        <v>20</v>
      </c>
      <c r="E14" s="11"/>
      <c r="F14" s="11"/>
      <c r="G14" s="11"/>
      <c r="H14" s="11"/>
      <c r="I14" s="11"/>
      <c r="J14" s="11"/>
      <c r="K14" s="12"/>
      <c r="O14" s="6" t="s">
        <v>1585</v>
      </c>
    </row>
    <row r="15" spans="1:17" x14ac:dyDescent="0.3">
      <c r="A15" s="6" t="s">
        <v>1558</v>
      </c>
      <c r="B15" s="5" t="s">
        <v>17</v>
      </c>
      <c r="C15" s="5">
        <v>1</v>
      </c>
      <c r="D15" s="5">
        <v>20</v>
      </c>
      <c r="E15" s="11"/>
      <c r="F15" s="11"/>
      <c r="G15" s="11"/>
      <c r="H15" s="11"/>
      <c r="I15" s="11"/>
      <c r="J15" s="11"/>
      <c r="K15" s="12"/>
      <c r="O15" s="6" t="s">
        <v>1558</v>
      </c>
    </row>
    <row r="16" spans="1:17" x14ac:dyDescent="0.3">
      <c r="A16" s="6" t="s">
        <v>1559</v>
      </c>
      <c r="B16" s="5" t="s">
        <v>17</v>
      </c>
      <c r="C16" s="5">
        <v>1</v>
      </c>
      <c r="D16" s="5">
        <v>20</v>
      </c>
      <c r="E16" s="11"/>
      <c r="F16" s="11"/>
      <c r="G16" s="11"/>
      <c r="H16" s="11"/>
      <c r="I16" s="11"/>
      <c r="J16" s="11"/>
      <c r="K16" s="12"/>
      <c r="O16" s="6" t="s">
        <v>1559</v>
      </c>
    </row>
    <row r="17" spans="1:15" x14ac:dyDescent="0.3">
      <c r="A17" s="6" t="s">
        <v>1589</v>
      </c>
      <c r="B17" s="5" t="s">
        <v>17</v>
      </c>
      <c r="C17" s="5">
        <v>1</v>
      </c>
      <c r="D17" s="5">
        <v>20</v>
      </c>
      <c r="E17" s="11"/>
      <c r="F17" s="11"/>
      <c r="G17" s="11"/>
      <c r="H17" s="11"/>
      <c r="I17" s="11"/>
      <c r="J17" s="11"/>
      <c r="K17" s="12"/>
      <c r="O17" s="6" t="s">
        <v>1589</v>
      </c>
    </row>
    <row r="18" spans="1:15" x14ac:dyDescent="0.3">
      <c r="A18" s="6" t="s">
        <v>1591</v>
      </c>
      <c r="B18" s="5" t="s">
        <v>17</v>
      </c>
      <c r="C18" s="5">
        <v>1</v>
      </c>
      <c r="D18" s="5">
        <v>20</v>
      </c>
      <c r="E18" s="11"/>
      <c r="F18" s="11"/>
      <c r="G18" s="11"/>
      <c r="H18" s="11"/>
      <c r="I18" s="11"/>
      <c r="J18" s="11"/>
      <c r="K18" s="12"/>
      <c r="O18" s="6" t="s">
        <v>1591</v>
      </c>
    </row>
    <row r="19" spans="1:15" x14ac:dyDescent="0.3">
      <c r="A19" s="6" t="s">
        <v>1593</v>
      </c>
      <c r="B19" s="5" t="s">
        <v>17</v>
      </c>
      <c r="C19" s="5">
        <v>1</v>
      </c>
      <c r="D19" s="5">
        <v>20</v>
      </c>
      <c r="E19" s="11"/>
      <c r="F19" s="11"/>
      <c r="G19" s="11"/>
      <c r="H19" s="11"/>
      <c r="I19" s="11"/>
      <c r="J19" s="11"/>
      <c r="K19" s="12"/>
      <c r="O19" s="6" t="s">
        <v>1593</v>
      </c>
    </row>
    <row r="20" spans="1:15" x14ac:dyDescent="0.3">
      <c r="A20" s="6" t="s">
        <v>1595</v>
      </c>
      <c r="B20" s="5" t="s">
        <v>17</v>
      </c>
      <c r="C20" s="5">
        <v>1</v>
      </c>
      <c r="D20" s="5">
        <v>20</v>
      </c>
      <c r="E20" s="11"/>
      <c r="F20" s="11"/>
      <c r="G20" s="11"/>
      <c r="H20" s="11"/>
      <c r="I20" s="11"/>
      <c r="J20" s="11"/>
      <c r="K20" s="12"/>
      <c r="O20" s="6" t="s">
        <v>1595</v>
      </c>
    </row>
    <row r="21" spans="1:15" x14ac:dyDescent="0.3">
      <c r="A21" s="6" t="s">
        <v>1597</v>
      </c>
      <c r="B21" s="5" t="s">
        <v>17</v>
      </c>
      <c r="C21" s="5">
        <v>1</v>
      </c>
      <c r="D21" s="5">
        <v>20</v>
      </c>
      <c r="E21" s="11"/>
      <c r="F21" s="11"/>
      <c r="G21" s="11"/>
      <c r="H21" s="11"/>
      <c r="I21" s="11"/>
      <c r="J21" s="11"/>
      <c r="K21" s="12"/>
      <c r="O21" s="6" t="s">
        <v>1597</v>
      </c>
    </row>
    <row r="22" spans="1:15" x14ac:dyDescent="0.3">
      <c r="A22" s="6" t="s">
        <v>60</v>
      </c>
      <c r="B22" s="5" t="s">
        <v>17</v>
      </c>
      <c r="C22" s="5">
        <v>1</v>
      </c>
      <c r="D22" s="5">
        <v>20</v>
      </c>
      <c r="E22" s="11"/>
      <c r="F22" s="11"/>
      <c r="G22" s="11"/>
      <c r="H22" s="11"/>
      <c r="I22" s="11"/>
      <c r="J22" s="11"/>
      <c r="K22" s="12"/>
      <c r="O22" s="6" t="s">
        <v>60</v>
      </c>
    </row>
    <row r="23" spans="1:15" x14ac:dyDescent="0.3">
      <c r="A23" s="6" t="s">
        <v>61</v>
      </c>
      <c r="B23" s="5" t="s">
        <v>17</v>
      </c>
      <c r="C23" s="5">
        <v>1</v>
      </c>
      <c r="D23" s="5">
        <v>20</v>
      </c>
      <c r="E23" s="11"/>
      <c r="F23" s="11"/>
      <c r="G23" s="11"/>
      <c r="H23" s="11"/>
      <c r="I23" s="11"/>
      <c r="J23" s="11"/>
      <c r="K23" s="12"/>
      <c r="O23" s="6" t="s">
        <v>61</v>
      </c>
    </row>
    <row r="24" spans="1:15" x14ac:dyDescent="0.3">
      <c r="A24" s="6" t="s">
        <v>62</v>
      </c>
      <c r="B24" s="5" t="s">
        <v>17</v>
      </c>
      <c r="C24" s="5">
        <v>1</v>
      </c>
      <c r="D24" s="5">
        <v>20</v>
      </c>
      <c r="E24" s="11"/>
      <c r="F24" s="11"/>
      <c r="G24" s="11"/>
      <c r="H24" s="11"/>
      <c r="I24" s="11"/>
      <c r="J24" s="11"/>
      <c r="K24" s="12"/>
      <c r="O24" s="6" t="s">
        <v>62</v>
      </c>
    </row>
    <row r="25" spans="1:15" x14ac:dyDescent="0.3">
      <c r="A25" s="6" t="s">
        <v>63</v>
      </c>
      <c r="B25" s="5" t="s">
        <v>2</v>
      </c>
      <c r="C25" s="5">
        <v>1</v>
      </c>
      <c r="D25" s="5">
        <v>20</v>
      </c>
      <c r="E25" s="11"/>
      <c r="F25" s="11"/>
      <c r="G25" s="11"/>
      <c r="H25" s="11"/>
      <c r="I25" s="11"/>
      <c r="J25" s="11"/>
      <c r="K25" s="12"/>
      <c r="O25" s="6" t="s">
        <v>63</v>
      </c>
    </row>
    <row r="26" spans="1:15" x14ac:dyDescent="0.3">
      <c r="A26" s="6" t="s">
        <v>64</v>
      </c>
      <c r="B26" s="5" t="s">
        <v>17</v>
      </c>
      <c r="C26" s="5">
        <v>1</v>
      </c>
      <c r="D26" s="5">
        <v>20</v>
      </c>
      <c r="E26" s="11"/>
      <c r="F26" s="11"/>
      <c r="G26" s="11"/>
      <c r="H26" s="11"/>
      <c r="I26" s="11"/>
      <c r="J26" s="11"/>
      <c r="K26" s="12"/>
      <c r="O26" s="6" t="s">
        <v>64</v>
      </c>
    </row>
    <row r="27" spans="1:15" x14ac:dyDescent="0.3">
      <c r="A27" s="6" t="s">
        <v>65</v>
      </c>
      <c r="B27" s="5" t="s">
        <v>17</v>
      </c>
      <c r="C27" s="5">
        <v>1</v>
      </c>
      <c r="D27" s="5">
        <v>20</v>
      </c>
      <c r="E27" s="11"/>
      <c r="F27" s="11"/>
      <c r="G27" s="11"/>
      <c r="H27" s="11"/>
      <c r="I27" s="11"/>
      <c r="J27" s="11"/>
      <c r="K27" s="12"/>
      <c r="O27" s="6" t="s">
        <v>65</v>
      </c>
    </row>
    <row r="28" spans="1:15" x14ac:dyDescent="0.3">
      <c r="A28" s="6" t="s">
        <v>66</v>
      </c>
      <c r="B28" s="5" t="s">
        <v>17</v>
      </c>
      <c r="C28" s="5">
        <v>1</v>
      </c>
      <c r="D28" s="5">
        <v>20</v>
      </c>
      <c r="E28" s="11"/>
      <c r="F28" s="11"/>
      <c r="G28" s="11"/>
      <c r="H28" s="11"/>
      <c r="I28" s="11"/>
      <c r="J28" s="11"/>
      <c r="K28" s="12"/>
      <c r="O28" s="6" t="s">
        <v>66</v>
      </c>
    </row>
    <row r="29" spans="1:15" x14ac:dyDescent="0.3">
      <c r="A29" s="6" t="s">
        <v>67</v>
      </c>
      <c r="B29" s="5" t="s">
        <v>17</v>
      </c>
      <c r="C29" s="5">
        <v>1</v>
      </c>
      <c r="D29" s="5">
        <v>20</v>
      </c>
      <c r="E29" s="11"/>
      <c r="F29" s="11"/>
      <c r="G29" s="11"/>
      <c r="H29" s="11"/>
      <c r="I29" s="11"/>
      <c r="J29" s="11"/>
      <c r="K29" s="12"/>
      <c r="O29" s="6" t="s">
        <v>67</v>
      </c>
    </row>
    <row r="30" spans="1:15" x14ac:dyDescent="0.3">
      <c r="A30" s="6" t="s">
        <v>68</v>
      </c>
      <c r="B30" s="5" t="s">
        <v>17</v>
      </c>
      <c r="C30" s="5">
        <v>1</v>
      </c>
      <c r="D30" s="5">
        <v>20</v>
      </c>
      <c r="E30" s="11"/>
      <c r="F30" s="11"/>
      <c r="G30" s="11"/>
      <c r="H30" s="11"/>
      <c r="I30" s="11"/>
      <c r="J30" s="11"/>
      <c r="K30" s="12"/>
      <c r="O30" s="6" t="s">
        <v>68</v>
      </c>
    </row>
    <row r="31" spans="1:15" x14ac:dyDescent="0.3">
      <c r="A31" s="6" t="s">
        <v>86</v>
      </c>
      <c r="B31" s="5" t="s">
        <v>17</v>
      </c>
      <c r="C31" s="5">
        <v>1</v>
      </c>
      <c r="D31" s="5">
        <v>20</v>
      </c>
      <c r="E31" s="11"/>
      <c r="F31" s="11"/>
      <c r="G31" s="11"/>
      <c r="H31" s="11"/>
      <c r="I31" s="11"/>
      <c r="J31" s="11"/>
      <c r="K31" s="12"/>
      <c r="O31" s="6" t="s">
        <v>86</v>
      </c>
    </row>
    <row r="32" spans="1:15" x14ac:dyDescent="0.3">
      <c r="A32" s="6" t="s">
        <v>87</v>
      </c>
      <c r="B32" s="5" t="s">
        <v>17</v>
      </c>
      <c r="C32" s="5">
        <v>1</v>
      </c>
      <c r="D32" s="5">
        <v>20</v>
      </c>
      <c r="E32" s="11"/>
      <c r="F32" s="11"/>
      <c r="G32" s="11"/>
      <c r="H32" s="11"/>
      <c r="I32" s="11"/>
      <c r="J32" s="11"/>
      <c r="K32" s="12"/>
      <c r="O32" s="6" t="s">
        <v>87</v>
      </c>
    </row>
    <row r="33" spans="1:17" x14ac:dyDescent="0.3">
      <c r="A33" s="6" t="s">
        <v>88</v>
      </c>
      <c r="B33" s="5" t="s">
        <v>17</v>
      </c>
      <c r="C33" s="5">
        <v>1</v>
      </c>
      <c r="D33" s="5">
        <v>20</v>
      </c>
      <c r="E33" s="11"/>
      <c r="F33" s="11"/>
      <c r="G33" s="11"/>
      <c r="H33" s="11"/>
      <c r="I33" s="11"/>
      <c r="J33" s="11"/>
      <c r="K33" s="12"/>
      <c r="O33" s="6" t="s">
        <v>88</v>
      </c>
    </row>
    <row r="34" spans="1:17" x14ac:dyDescent="0.3">
      <c r="A34" s="6" t="s">
        <v>90</v>
      </c>
      <c r="B34" s="5" t="s">
        <v>17</v>
      </c>
      <c r="C34" s="5">
        <v>1</v>
      </c>
      <c r="D34" s="5">
        <v>20</v>
      </c>
      <c r="E34" s="11"/>
      <c r="F34" s="11"/>
      <c r="G34" s="11"/>
      <c r="H34" s="11"/>
      <c r="I34" s="11"/>
      <c r="J34" s="11"/>
      <c r="K34" s="12"/>
      <c r="O34" s="6" t="s">
        <v>90</v>
      </c>
    </row>
    <row r="35" spans="1:17" x14ac:dyDescent="0.3">
      <c r="A35" s="6" t="s">
        <v>91</v>
      </c>
      <c r="B35" s="5" t="s">
        <v>2</v>
      </c>
      <c r="C35" s="5">
        <v>0.5</v>
      </c>
      <c r="D35" s="5">
        <v>10</v>
      </c>
      <c r="E35" s="11"/>
      <c r="F35" s="11"/>
      <c r="G35" s="11"/>
      <c r="H35" s="11"/>
      <c r="I35" s="11"/>
      <c r="J35" s="11"/>
      <c r="K35" s="12"/>
      <c r="O35" s="6" t="s">
        <v>91</v>
      </c>
    </row>
    <row r="36" spans="1:17" x14ac:dyDescent="0.3">
      <c r="A36" s="6" t="s">
        <v>92</v>
      </c>
      <c r="B36" s="5" t="s">
        <v>17</v>
      </c>
      <c r="C36" s="5">
        <v>1</v>
      </c>
      <c r="D36" s="5">
        <v>20</v>
      </c>
      <c r="E36" s="11"/>
      <c r="F36" s="11"/>
      <c r="G36" s="11"/>
      <c r="H36" s="11"/>
      <c r="I36" s="11"/>
      <c r="J36" s="11"/>
      <c r="K36" s="12"/>
      <c r="O36" s="6" t="s">
        <v>92</v>
      </c>
    </row>
    <row r="37" spans="1:17" x14ac:dyDescent="0.3">
      <c r="A37" s="6" t="s">
        <v>93</v>
      </c>
      <c r="B37" s="5" t="s">
        <v>17</v>
      </c>
      <c r="C37" s="5">
        <v>1</v>
      </c>
      <c r="D37" s="5">
        <v>20</v>
      </c>
      <c r="E37" s="11"/>
      <c r="F37" s="11"/>
      <c r="G37" s="11"/>
      <c r="H37" s="11"/>
      <c r="I37" s="11"/>
      <c r="J37" s="11"/>
      <c r="K37" s="12"/>
      <c r="O37" s="6" t="s">
        <v>93</v>
      </c>
    </row>
    <row r="38" spans="1:17" x14ac:dyDescent="0.3">
      <c r="A38" s="6" t="s">
        <v>94</v>
      </c>
      <c r="B38" s="5" t="s">
        <v>17</v>
      </c>
      <c r="C38" s="5">
        <v>1</v>
      </c>
      <c r="D38" s="5">
        <v>20</v>
      </c>
      <c r="E38" s="11"/>
      <c r="F38" s="11"/>
      <c r="G38" s="11"/>
      <c r="H38" s="11"/>
      <c r="I38" s="11"/>
      <c r="J38" s="11"/>
      <c r="K38" s="12"/>
      <c r="O38" s="6" t="s">
        <v>94</v>
      </c>
    </row>
    <row r="39" spans="1:17" x14ac:dyDescent="0.3">
      <c r="A39" s="6" t="s">
        <v>95</v>
      </c>
      <c r="B39" s="5" t="s">
        <v>17</v>
      </c>
      <c r="C39" s="5">
        <v>1</v>
      </c>
      <c r="D39" s="5">
        <v>20</v>
      </c>
      <c r="E39" s="11"/>
      <c r="F39" s="11"/>
      <c r="G39" s="11"/>
      <c r="H39" s="11"/>
      <c r="I39" s="11"/>
      <c r="J39" s="11"/>
      <c r="K39" s="12"/>
      <c r="O39" s="6" t="s">
        <v>95</v>
      </c>
    </row>
    <row r="40" spans="1:17" x14ac:dyDescent="0.3">
      <c r="A40" s="6" t="s">
        <v>96</v>
      </c>
      <c r="B40" s="5" t="s">
        <v>17</v>
      </c>
      <c r="C40" s="5">
        <v>1</v>
      </c>
      <c r="D40" s="5">
        <v>20</v>
      </c>
      <c r="E40" s="11"/>
      <c r="F40" s="11"/>
      <c r="G40" s="11"/>
      <c r="H40" s="11"/>
      <c r="I40" s="11"/>
      <c r="J40" s="11"/>
      <c r="K40" s="12"/>
      <c r="O40" s="6" t="s">
        <v>96</v>
      </c>
    </row>
    <row r="41" spans="1:17" x14ac:dyDescent="0.3">
      <c r="A41" s="6" t="s">
        <v>97</v>
      </c>
      <c r="B41" s="5" t="s">
        <v>17</v>
      </c>
      <c r="C41" s="5">
        <v>1</v>
      </c>
      <c r="D41" s="5">
        <v>20</v>
      </c>
      <c r="E41" s="11"/>
      <c r="F41" s="11"/>
      <c r="G41" s="11"/>
      <c r="H41" s="11"/>
      <c r="I41" s="11"/>
      <c r="J41" s="11"/>
      <c r="K41" s="12"/>
      <c r="O41" s="6" t="s">
        <v>97</v>
      </c>
    </row>
    <row r="42" spans="1:17" x14ac:dyDescent="0.3">
      <c r="A42" s="6" t="s">
        <v>2423</v>
      </c>
      <c r="B42" s="5" t="s">
        <v>17</v>
      </c>
      <c r="C42" s="5">
        <v>1</v>
      </c>
      <c r="D42" s="5">
        <v>20</v>
      </c>
      <c r="E42" s="11"/>
      <c r="F42" s="11"/>
      <c r="G42" s="11"/>
      <c r="H42" s="11"/>
      <c r="I42" s="11"/>
      <c r="J42" s="11"/>
      <c r="K42" s="12"/>
      <c r="O42" s="6" t="s">
        <v>2423</v>
      </c>
    </row>
    <row r="43" spans="1:17" x14ac:dyDescent="0.3">
      <c r="A43" s="6" t="s">
        <v>2424</v>
      </c>
      <c r="B43" s="5" t="s">
        <v>17</v>
      </c>
      <c r="C43" s="5">
        <v>1</v>
      </c>
      <c r="D43" s="5">
        <v>20</v>
      </c>
      <c r="E43" s="11"/>
      <c r="F43" s="11"/>
      <c r="G43" s="11"/>
      <c r="H43" s="11"/>
      <c r="I43" s="11"/>
      <c r="J43" s="11"/>
      <c r="K43" s="12"/>
      <c r="O43" s="6" t="s">
        <v>2424</v>
      </c>
    </row>
    <row r="44" spans="1:17" x14ac:dyDescent="0.3">
      <c r="A44" s="6" t="s">
        <v>2425</v>
      </c>
      <c r="B44" s="5" t="s">
        <v>17</v>
      </c>
      <c r="C44" s="5">
        <v>1</v>
      </c>
      <c r="D44" s="5">
        <v>20</v>
      </c>
      <c r="E44" s="11"/>
      <c r="F44" s="11"/>
      <c r="G44" s="11"/>
      <c r="H44" s="11"/>
      <c r="I44" s="11"/>
      <c r="J44" s="11"/>
      <c r="K44" s="12"/>
      <c r="O44" s="6" t="s">
        <v>2425</v>
      </c>
    </row>
    <row r="45" spans="1:17" x14ac:dyDescent="0.3">
      <c r="A45" s="13" t="s">
        <v>2426</v>
      </c>
      <c r="B45" s="5" t="s">
        <v>17</v>
      </c>
      <c r="C45" s="5">
        <v>1</v>
      </c>
      <c r="D45" s="5">
        <v>20</v>
      </c>
      <c r="E45" s="11"/>
      <c r="F45" s="11"/>
      <c r="G45" s="11"/>
      <c r="H45" s="11"/>
      <c r="I45" s="11"/>
      <c r="J45" s="11"/>
      <c r="K45" s="12"/>
      <c r="O45" s="6" t="s">
        <v>2426</v>
      </c>
    </row>
    <row r="46" spans="1:17" x14ac:dyDescent="0.3">
      <c r="A46" s="12"/>
      <c r="B46" s="12"/>
      <c r="C46" s="12"/>
      <c r="D46" s="12"/>
      <c r="E46" s="11"/>
      <c r="F46" s="11"/>
      <c r="G46" s="11"/>
      <c r="H46" s="11"/>
      <c r="I46" s="11"/>
      <c r="J46" s="11"/>
      <c r="K46" s="12"/>
    </row>
    <row r="47" spans="1:17" x14ac:dyDescent="0.3">
      <c r="A47" s="11" t="s">
        <v>1374</v>
      </c>
      <c r="B47" s="11" t="s">
        <v>1370</v>
      </c>
      <c r="C47" s="11" t="s">
        <v>1371</v>
      </c>
      <c r="D47" s="11" t="s">
        <v>1372</v>
      </c>
      <c r="E47" s="11"/>
      <c r="F47" s="11"/>
      <c r="G47" s="11"/>
      <c r="H47" s="11"/>
      <c r="I47" s="11"/>
      <c r="J47" s="11"/>
      <c r="K47" s="12"/>
    </row>
    <row r="48" spans="1:17" x14ac:dyDescent="0.3">
      <c r="A48" s="6" t="s">
        <v>2476</v>
      </c>
      <c r="B48" s="5" t="s">
        <v>17</v>
      </c>
      <c r="C48" s="5">
        <v>1</v>
      </c>
      <c r="D48" s="5">
        <v>20</v>
      </c>
      <c r="E48" s="11"/>
      <c r="F48" s="11"/>
      <c r="G48" s="11"/>
      <c r="H48" s="11"/>
      <c r="I48" s="11"/>
      <c r="J48" s="11"/>
      <c r="K48" s="12"/>
      <c r="O48" s="6" t="s">
        <v>2476</v>
      </c>
      <c r="Q48" s="40" t="s">
        <v>1375</v>
      </c>
    </row>
    <row r="49" spans="1:17" x14ac:dyDescent="0.3">
      <c r="A49" s="6" t="s">
        <v>2477</v>
      </c>
      <c r="B49" s="5" t="s">
        <v>17</v>
      </c>
      <c r="C49" s="5">
        <v>1</v>
      </c>
      <c r="D49" s="5">
        <v>20</v>
      </c>
      <c r="E49" s="11"/>
      <c r="F49" s="11"/>
      <c r="G49" s="11"/>
      <c r="H49" s="11"/>
      <c r="I49" s="11"/>
      <c r="J49" s="11"/>
      <c r="K49" s="12"/>
      <c r="O49" s="6" t="s">
        <v>2477</v>
      </c>
      <c r="Q49" s="40" t="s">
        <v>1376</v>
      </c>
    </row>
    <row r="50" spans="1:17" x14ac:dyDescent="0.3">
      <c r="A50" s="6" t="s">
        <v>2478</v>
      </c>
      <c r="B50" s="5" t="s">
        <v>17</v>
      </c>
      <c r="C50" s="5">
        <v>1</v>
      </c>
      <c r="D50" s="5">
        <v>20</v>
      </c>
      <c r="E50" s="11"/>
      <c r="F50" s="11"/>
      <c r="G50" s="11"/>
      <c r="H50" s="11"/>
      <c r="I50" s="11"/>
      <c r="J50" s="11"/>
      <c r="K50" s="12"/>
      <c r="O50" s="6" t="s">
        <v>2478</v>
      </c>
    </row>
    <row r="51" spans="1:17" x14ac:dyDescent="0.3">
      <c r="A51" s="6" t="s">
        <v>2479</v>
      </c>
      <c r="B51" s="5" t="s">
        <v>17</v>
      </c>
      <c r="C51" s="5">
        <v>1</v>
      </c>
      <c r="D51" s="5">
        <v>20</v>
      </c>
      <c r="E51" s="11"/>
      <c r="F51" s="11"/>
      <c r="G51" s="11"/>
      <c r="H51" s="11"/>
      <c r="I51" s="11"/>
      <c r="J51" s="11"/>
      <c r="K51" s="12"/>
      <c r="O51" s="6" t="s">
        <v>2479</v>
      </c>
      <c r="Q51" t="s">
        <v>1658</v>
      </c>
    </row>
    <row r="52" spans="1:17" x14ac:dyDescent="0.3">
      <c r="A52" s="6" t="s">
        <v>2480</v>
      </c>
      <c r="B52" s="5" t="s">
        <v>17</v>
      </c>
      <c r="C52" s="5">
        <v>1</v>
      </c>
      <c r="D52" s="5">
        <v>20</v>
      </c>
      <c r="E52" s="11"/>
      <c r="F52" s="11"/>
      <c r="G52" s="11"/>
      <c r="H52" s="11"/>
      <c r="I52" s="11"/>
      <c r="J52" s="11"/>
      <c r="K52" s="12"/>
      <c r="O52" s="6" t="s">
        <v>2480</v>
      </c>
      <c r="Q52">
        <v>27</v>
      </c>
    </row>
    <row r="53" spans="1:17" x14ac:dyDescent="0.3">
      <c r="A53" s="6" t="s">
        <v>2481</v>
      </c>
      <c r="B53" s="5" t="s">
        <v>17</v>
      </c>
      <c r="C53" s="5">
        <v>1</v>
      </c>
      <c r="D53" s="5">
        <v>20</v>
      </c>
      <c r="E53" s="11"/>
      <c r="F53" s="11"/>
      <c r="G53" s="11"/>
      <c r="H53" s="11"/>
      <c r="I53" s="11"/>
      <c r="J53" s="11"/>
      <c r="K53" s="12"/>
      <c r="O53" s="6" t="s">
        <v>2481</v>
      </c>
    </row>
    <row r="54" spans="1:17" x14ac:dyDescent="0.3">
      <c r="A54" s="6" t="s">
        <v>2482</v>
      </c>
      <c r="B54" s="5" t="s">
        <v>2</v>
      </c>
      <c r="C54" s="5">
        <v>0.05</v>
      </c>
      <c r="D54" s="5">
        <v>1</v>
      </c>
      <c r="E54" s="11"/>
      <c r="F54" s="11"/>
      <c r="G54" s="11"/>
      <c r="H54" s="11"/>
      <c r="I54" s="11"/>
      <c r="J54" s="11"/>
      <c r="K54" s="12"/>
      <c r="O54" s="6" t="s">
        <v>2482</v>
      </c>
    </row>
    <row r="55" spans="1:17" x14ac:dyDescent="0.3">
      <c r="A55" s="6" t="s">
        <v>2483</v>
      </c>
      <c r="B55" s="5" t="s">
        <v>2</v>
      </c>
      <c r="C55" s="5">
        <v>0.05</v>
      </c>
      <c r="D55" s="5">
        <v>1</v>
      </c>
      <c r="E55" s="11"/>
      <c r="F55" s="11"/>
      <c r="G55" s="11"/>
      <c r="H55" s="11"/>
      <c r="I55" s="11"/>
      <c r="J55" s="11"/>
      <c r="K55" s="12"/>
      <c r="O55" s="6" t="s">
        <v>2483</v>
      </c>
    </row>
    <row r="56" spans="1:17" x14ac:dyDescent="0.3">
      <c r="A56" s="6" t="s">
        <v>1527</v>
      </c>
      <c r="B56" s="5" t="s">
        <v>2</v>
      </c>
      <c r="C56" s="5">
        <v>0.05</v>
      </c>
      <c r="D56" s="5">
        <v>1</v>
      </c>
      <c r="E56" s="11"/>
      <c r="F56" s="11"/>
      <c r="G56" s="11"/>
      <c r="H56" s="11"/>
      <c r="I56" s="11"/>
      <c r="J56" s="11"/>
      <c r="K56" s="12"/>
      <c r="O56" s="6" t="s">
        <v>1527</v>
      </c>
    </row>
    <row r="57" spans="1:17" x14ac:dyDescent="0.3">
      <c r="A57" s="6" t="s">
        <v>2484</v>
      </c>
      <c r="B57" s="5" t="s">
        <v>17</v>
      </c>
      <c r="C57" s="5">
        <v>1</v>
      </c>
      <c r="D57" s="5">
        <v>20</v>
      </c>
      <c r="E57" s="11"/>
      <c r="F57" s="11"/>
      <c r="G57" s="11"/>
      <c r="H57" s="11"/>
      <c r="I57" s="11"/>
      <c r="J57" s="11"/>
      <c r="K57" s="12"/>
      <c r="O57" s="6" t="s">
        <v>2484</v>
      </c>
    </row>
    <row r="58" spans="1:17" x14ac:dyDescent="0.3">
      <c r="A58" s="6" t="s">
        <v>2485</v>
      </c>
      <c r="B58" s="5" t="s">
        <v>17</v>
      </c>
      <c r="C58" s="5">
        <v>1</v>
      </c>
      <c r="D58" s="5">
        <v>20</v>
      </c>
      <c r="E58" s="11"/>
      <c r="F58" s="11"/>
      <c r="G58" s="11"/>
      <c r="H58" s="11"/>
      <c r="I58" s="11"/>
      <c r="J58" s="11"/>
      <c r="K58" s="12"/>
      <c r="O58" s="6" t="s">
        <v>2485</v>
      </c>
    </row>
    <row r="59" spans="1:17" x14ac:dyDescent="0.3">
      <c r="A59" s="6" t="s">
        <v>2486</v>
      </c>
      <c r="B59" s="5" t="s">
        <v>17</v>
      </c>
      <c r="C59" s="5">
        <v>1</v>
      </c>
      <c r="D59" s="5">
        <v>20</v>
      </c>
      <c r="E59" s="11"/>
      <c r="F59" s="11"/>
      <c r="G59" s="11"/>
      <c r="H59" s="11"/>
      <c r="I59" s="11"/>
      <c r="J59" s="11"/>
      <c r="K59" s="12"/>
      <c r="O59" s="6" t="s">
        <v>2486</v>
      </c>
    </row>
    <row r="60" spans="1:17" x14ac:dyDescent="0.3">
      <c r="A60" s="6" t="s">
        <v>2487</v>
      </c>
      <c r="B60" s="5" t="s">
        <v>17</v>
      </c>
      <c r="C60" s="5">
        <v>1</v>
      </c>
      <c r="D60" s="5">
        <v>20</v>
      </c>
      <c r="E60" s="11"/>
      <c r="F60" s="11"/>
      <c r="G60" s="11"/>
      <c r="H60" s="11"/>
      <c r="I60" s="11"/>
      <c r="J60" s="11"/>
      <c r="K60" s="12"/>
      <c r="O60" s="6" t="s">
        <v>2487</v>
      </c>
    </row>
    <row r="61" spans="1:17" x14ac:dyDescent="0.3">
      <c r="A61" s="6" t="s">
        <v>2488</v>
      </c>
      <c r="B61" s="5" t="s">
        <v>17</v>
      </c>
      <c r="C61" s="5">
        <v>1</v>
      </c>
      <c r="D61" s="5">
        <v>20</v>
      </c>
      <c r="E61" s="11"/>
      <c r="F61" s="11"/>
      <c r="G61" s="11"/>
      <c r="H61" s="11"/>
      <c r="I61" s="11"/>
      <c r="J61" s="11"/>
      <c r="K61" s="12"/>
      <c r="O61" s="6" t="s">
        <v>2488</v>
      </c>
    </row>
    <row r="62" spans="1:17" x14ac:dyDescent="0.3">
      <c r="A62" s="6" t="s">
        <v>2489</v>
      </c>
      <c r="B62" s="5" t="s">
        <v>17</v>
      </c>
      <c r="C62" s="5">
        <v>1</v>
      </c>
      <c r="D62" s="5">
        <v>20</v>
      </c>
      <c r="E62" s="11"/>
      <c r="F62" s="11"/>
      <c r="G62" s="11"/>
      <c r="H62" s="11"/>
      <c r="I62" s="11"/>
      <c r="J62" s="11"/>
      <c r="K62" s="12"/>
      <c r="O62" s="6" t="s">
        <v>2489</v>
      </c>
    </row>
    <row r="63" spans="1:17" x14ac:dyDescent="0.3">
      <c r="A63" s="6" t="s">
        <v>2490</v>
      </c>
      <c r="B63" s="5" t="s">
        <v>17</v>
      </c>
      <c r="C63" s="5">
        <v>1</v>
      </c>
      <c r="D63" s="5">
        <v>20</v>
      </c>
      <c r="E63" s="11"/>
      <c r="F63" s="11"/>
      <c r="G63" s="11"/>
      <c r="H63" s="11"/>
      <c r="I63" s="11"/>
      <c r="J63" s="11"/>
      <c r="K63" s="12"/>
      <c r="O63" s="6" t="s">
        <v>2490</v>
      </c>
    </row>
    <row r="64" spans="1:17" x14ac:dyDescent="0.3">
      <c r="A64" s="6" t="s">
        <v>2491</v>
      </c>
      <c r="B64" s="5" t="s">
        <v>17</v>
      </c>
      <c r="C64" s="5">
        <v>1</v>
      </c>
      <c r="D64" s="5">
        <v>20</v>
      </c>
      <c r="E64" s="11"/>
      <c r="F64" s="11"/>
      <c r="G64" s="11"/>
      <c r="H64" s="11"/>
      <c r="I64" s="11"/>
      <c r="J64" s="11"/>
      <c r="K64" s="12"/>
      <c r="O64" s="6" t="s">
        <v>2491</v>
      </c>
    </row>
    <row r="65" spans="1:15" x14ac:dyDescent="0.3">
      <c r="A65" s="6" t="s">
        <v>1600</v>
      </c>
      <c r="B65" s="5" t="s">
        <v>17</v>
      </c>
      <c r="C65" s="5">
        <v>1</v>
      </c>
      <c r="D65" s="5">
        <v>20</v>
      </c>
      <c r="E65" s="11"/>
      <c r="F65" s="11"/>
      <c r="G65" s="11"/>
      <c r="H65" s="11"/>
      <c r="I65" s="11"/>
      <c r="J65" s="11"/>
      <c r="K65" s="12"/>
      <c r="O65" s="6" t="s">
        <v>1600</v>
      </c>
    </row>
    <row r="66" spans="1:15" x14ac:dyDescent="0.3">
      <c r="A66" s="6" t="s">
        <v>2492</v>
      </c>
      <c r="B66" s="5" t="s">
        <v>17</v>
      </c>
      <c r="C66" s="5">
        <v>1</v>
      </c>
      <c r="D66" s="5">
        <v>20</v>
      </c>
      <c r="E66" s="11"/>
      <c r="F66" s="11"/>
      <c r="G66" s="11"/>
      <c r="H66" s="11"/>
      <c r="I66" s="11"/>
      <c r="J66" s="11"/>
      <c r="K66" s="12"/>
      <c r="O66" s="6" t="s">
        <v>2492</v>
      </c>
    </row>
    <row r="67" spans="1:15" x14ac:dyDescent="0.3">
      <c r="A67" s="6" t="s">
        <v>1681</v>
      </c>
      <c r="B67" s="5" t="s">
        <v>17</v>
      </c>
      <c r="C67" s="5">
        <v>1</v>
      </c>
      <c r="D67" s="5">
        <v>20</v>
      </c>
      <c r="E67" s="11"/>
      <c r="F67" s="11"/>
      <c r="G67" s="11"/>
      <c r="H67" s="11"/>
      <c r="I67" s="11"/>
      <c r="J67" s="11"/>
      <c r="K67" s="12"/>
      <c r="O67" s="6" t="s">
        <v>1681</v>
      </c>
    </row>
    <row r="68" spans="1:15" x14ac:dyDescent="0.3">
      <c r="A68" s="6" t="s">
        <v>2493</v>
      </c>
      <c r="B68" s="5" t="s">
        <v>17</v>
      </c>
      <c r="C68" s="5">
        <v>1</v>
      </c>
      <c r="D68" s="5">
        <v>20</v>
      </c>
      <c r="E68" s="11"/>
      <c r="F68" s="11"/>
      <c r="G68" s="11"/>
      <c r="H68" s="11"/>
      <c r="I68" s="11"/>
      <c r="J68" s="11"/>
      <c r="K68" s="12"/>
      <c r="O68" s="6" t="s">
        <v>2493</v>
      </c>
    </row>
    <row r="69" spans="1:15" x14ac:dyDescent="0.3">
      <c r="A69" s="6" t="s">
        <v>2498</v>
      </c>
      <c r="B69" s="5" t="s">
        <v>17</v>
      </c>
      <c r="C69" s="5">
        <v>1</v>
      </c>
      <c r="D69" s="5">
        <v>20</v>
      </c>
      <c r="E69" s="11"/>
      <c r="F69" s="11"/>
      <c r="G69" s="11"/>
      <c r="H69" s="11"/>
      <c r="I69" s="11"/>
      <c r="J69" s="11"/>
      <c r="K69" s="12"/>
      <c r="O69" s="6" t="s">
        <v>2498</v>
      </c>
    </row>
    <row r="70" spans="1:15" x14ac:dyDescent="0.3">
      <c r="A70" s="6" t="s">
        <v>2494</v>
      </c>
      <c r="B70" s="5" t="s">
        <v>17</v>
      </c>
      <c r="C70" s="5">
        <v>1</v>
      </c>
      <c r="D70" s="5">
        <v>20</v>
      </c>
      <c r="E70" s="11"/>
      <c r="F70" s="11"/>
      <c r="G70" s="11"/>
      <c r="H70" s="11"/>
      <c r="I70" s="11"/>
      <c r="J70" s="11"/>
      <c r="K70" s="12"/>
      <c r="O70" s="6" t="s">
        <v>2494</v>
      </c>
    </row>
    <row r="71" spans="1:15" x14ac:dyDescent="0.3">
      <c r="A71" s="6" t="s">
        <v>2495</v>
      </c>
      <c r="B71" s="5" t="s">
        <v>17</v>
      </c>
      <c r="C71" s="5">
        <v>1</v>
      </c>
      <c r="D71" s="5">
        <v>20</v>
      </c>
      <c r="E71" s="11"/>
      <c r="F71" s="11"/>
      <c r="G71" s="11"/>
      <c r="H71" s="11"/>
      <c r="I71" s="11"/>
      <c r="J71" s="11"/>
      <c r="K71" s="12"/>
      <c r="O71" s="6" t="s">
        <v>2495</v>
      </c>
    </row>
    <row r="72" spans="1:15" x14ac:dyDescent="0.3">
      <c r="A72" s="6" t="s">
        <v>2496</v>
      </c>
      <c r="B72" s="5" t="s">
        <v>17</v>
      </c>
      <c r="C72" s="5">
        <v>1</v>
      </c>
      <c r="D72" s="5">
        <v>20</v>
      </c>
      <c r="E72" s="11"/>
      <c r="F72" s="11"/>
      <c r="G72" s="11"/>
      <c r="H72" s="11"/>
      <c r="I72" s="11"/>
      <c r="J72" s="11"/>
      <c r="K72" s="12"/>
      <c r="O72" s="6" t="s">
        <v>2496</v>
      </c>
    </row>
    <row r="73" spans="1:15" x14ac:dyDescent="0.3">
      <c r="A73" s="6" t="s">
        <v>2497</v>
      </c>
      <c r="B73" s="5" t="s">
        <v>17</v>
      </c>
      <c r="C73" s="5">
        <v>1</v>
      </c>
      <c r="D73" s="5">
        <v>20</v>
      </c>
      <c r="E73" s="11"/>
      <c r="F73" s="11"/>
      <c r="G73" s="11"/>
      <c r="H73" s="11"/>
      <c r="I73" s="11"/>
      <c r="J73" s="11"/>
      <c r="K73" s="12"/>
      <c r="O73" s="6" t="s">
        <v>2497</v>
      </c>
    </row>
    <row r="74" spans="1:15" x14ac:dyDescent="0.3">
      <c r="A74" s="6" t="s">
        <v>1602</v>
      </c>
      <c r="B74" s="5" t="s">
        <v>17</v>
      </c>
      <c r="C74" s="5">
        <v>1</v>
      </c>
      <c r="D74" s="5">
        <v>20</v>
      </c>
      <c r="E74" s="11"/>
      <c r="F74" s="11"/>
      <c r="G74" s="11"/>
      <c r="H74" s="11"/>
      <c r="I74" s="11"/>
      <c r="J74" s="11"/>
      <c r="K74" s="12"/>
      <c r="O74" s="6" t="s">
        <v>1602</v>
      </c>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4563E-1178-4555-9F8E-757B60A04D5B}">
  <sheetPr codeName="Sheet20"/>
  <dimension ref="A1:X38"/>
  <sheetViews>
    <sheetView zoomScale="90" zoomScaleNormal="90" workbookViewId="0"/>
  </sheetViews>
  <sheetFormatPr defaultRowHeight="14.4" x14ac:dyDescent="0.3"/>
  <sheetData>
    <row r="1" spans="1:24" x14ac:dyDescent="0.3">
      <c r="A1" s="41" t="s">
        <v>1380</v>
      </c>
      <c r="B1" s="41"/>
      <c r="C1" s="41"/>
      <c r="D1" s="41"/>
      <c r="E1" s="41"/>
      <c r="F1" s="41"/>
      <c r="G1" s="41"/>
      <c r="H1" s="41"/>
      <c r="I1" s="41"/>
      <c r="J1" s="41"/>
      <c r="K1" s="41"/>
      <c r="L1" s="41"/>
      <c r="M1" s="41"/>
      <c r="N1" s="41"/>
      <c r="O1" s="41"/>
      <c r="P1" s="41"/>
      <c r="Q1" s="41"/>
      <c r="R1" s="41"/>
      <c r="S1" s="41"/>
    </row>
    <row r="2" spans="1:24" x14ac:dyDescent="0.3">
      <c r="A2" s="41" t="s">
        <v>1381</v>
      </c>
      <c r="B2" s="41"/>
      <c r="C2" s="41"/>
      <c r="D2" s="41"/>
      <c r="E2" s="41"/>
      <c r="F2" s="41"/>
      <c r="G2" s="41"/>
      <c r="H2" s="41"/>
      <c r="I2" s="41"/>
      <c r="J2" s="41"/>
      <c r="K2" s="41"/>
      <c r="L2" s="41"/>
      <c r="M2" s="41"/>
      <c r="N2" s="41"/>
      <c r="O2" s="41"/>
      <c r="P2" s="41"/>
      <c r="Q2" s="41"/>
      <c r="R2" s="41"/>
      <c r="S2" s="41"/>
      <c r="X2" t="s">
        <v>1673</v>
      </c>
    </row>
    <row r="3" spans="1:24" x14ac:dyDescent="0.3">
      <c r="A3" s="41" t="s">
        <v>1421</v>
      </c>
      <c r="B3" s="41" t="s">
        <v>1422</v>
      </c>
      <c r="C3" s="41"/>
      <c r="D3" s="41"/>
      <c r="E3" s="41"/>
      <c r="F3" s="41"/>
      <c r="G3" s="41"/>
      <c r="H3" s="41"/>
      <c r="I3" s="41"/>
      <c r="J3" s="41"/>
      <c r="K3" s="41"/>
      <c r="L3" s="41"/>
      <c r="M3" s="41"/>
      <c r="N3" s="41"/>
      <c r="O3" s="41"/>
      <c r="P3" s="41"/>
      <c r="Q3" s="41"/>
      <c r="R3" s="41"/>
      <c r="S3" s="41"/>
      <c r="X3" s="66" t="s">
        <v>1672</v>
      </c>
    </row>
    <row r="4" spans="1:24" x14ac:dyDescent="0.3">
      <c r="A4" s="42"/>
      <c r="B4" s="6">
        <v>0.125</v>
      </c>
      <c r="C4" s="41"/>
      <c r="D4" s="41"/>
      <c r="E4" s="41"/>
      <c r="F4" s="41"/>
      <c r="G4" s="41"/>
      <c r="H4" s="41"/>
      <c r="I4" s="41"/>
      <c r="J4" s="41"/>
      <c r="K4" s="41"/>
      <c r="L4" s="41"/>
      <c r="M4" s="41"/>
      <c r="N4" s="41"/>
      <c r="O4" s="41"/>
      <c r="P4" s="41"/>
      <c r="Q4" s="41"/>
      <c r="R4" s="41"/>
      <c r="S4" s="41"/>
    </row>
    <row r="5" spans="1:24" x14ac:dyDescent="0.3">
      <c r="A5" s="41" t="s">
        <v>1382</v>
      </c>
      <c r="B5" s="41"/>
      <c r="C5" s="41"/>
      <c r="D5" s="41"/>
      <c r="E5" s="41"/>
      <c r="F5" s="41"/>
      <c r="G5" s="41"/>
      <c r="H5" s="41"/>
      <c r="I5" s="41"/>
      <c r="J5" s="41"/>
      <c r="K5" s="41"/>
      <c r="L5" s="41"/>
      <c r="M5" s="41"/>
      <c r="N5" s="41"/>
      <c r="O5" s="41"/>
      <c r="P5" s="41"/>
      <c r="Q5" s="41"/>
      <c r="R5" s="41"/>
      <c r="S5" s="41"/>
    </row>
    <row r="6" spans="1:24" x14ac:dyDescent="0.3">
      <c r="A6" s="42" t="s">
        <v>1383</v>
      </c>
      <c r="B6" s="42" t="s">
        <v>1384</v>
      </c>
      <c r="C6" s="42" t="s">
        <v>1385</v>
      </c>
      <c r="D6" s="42" t="s">
        <v>1386</v>
      </c>
      <c r="E6" s="41"/>
      <c r="F6" s="41"/>
      <c r="G6" s="41"/>
      <c r="H6" s="41"/>
      <c r="I6" s="41"/>
      <c r="J6" s="41"/>
      <c r="K6" s="41"/>
      <c r="L6" s="41"/>
      <c r="M6" s="41"/>
      <c r="N6" s="41"/>
      <c r="O6" s="41"/>
      <c r="P6" s="41"/>
      <c r="Q6" s="41"/>
      <c r="R6" s="41"/>
      <c r="S6" s="41"/>
    </row>
    <row r="7" spans="1:24" x14ac:dyDescent="0.3">
      <c r="A7" s="42"/>
      <c r="B7" s="6" t="s">
        <v>2</v>
      </c>
      <c r="C7" s="6">
        <v>4</v>
      </c>
      <c r="D7" s="6">
        <v>1</v>
      </c>
      <c r="E7" s="41"/>
      <c r="F7" s="41"/>
      <c r="G7" s="41"/>
      <c r="H7" s="41"/>
      <c r="I7" s="41"/>
      <c r="J7" s="41"/>
      <c r="K7" s="41"/>
      <c r="L7" s="41"/>
      <c r="M7" s="41"/>
      <c r="N7" s="41"/>
      <c r="O7" s="41"/>
      <c r="P7" s="41"/>
      <c r="Q7" s="41"/>
      <c r="R7" s="41"/>
      <c r="S7" s="41"/>
    </row>
    <row r="8" spans="1:24" x14ac:dyDescent="0.3">
      <c r="A8" s="41"/>
      <c r="B8" s="41"/>
      <c r="C8" s="41"/>
      <c r="D8" s="41"/>
      <c r="E8" s="41"/>
      <c r="F8" s="41"/>
      <c r="G8" s="41"/>
      <c r="H8" s="41"/>
      <c r="I8" s="41"/>
      <c r="J8" s="41"/>
      <c r="K8" s="41"/>
      <c r="L8" s="41"/>
      <c r="M8" s="41"/>
      <c r="N8" s="41"/>
      <c r="O8" s="41"/>
      <c r="P8" s="41"/>
      <c r="Q8" s="41"/>
      <c r="R8" s="41"/>
      <c r="S8" s="41"/>
    </row>
    <row r="9" spans="1:24" x14ac:dyDescent="0.3">
      <c r="A9" s="42" t="s">
        <v>1387</v>
      </c>
      <c r="B9" s="42" t="s">
        <v>1388</v>
      </c>
      <c r="C9" s="42" t="s">
        <v>1389</v>
      </c>
      <c r="D9" s="42" t="s">
        <v>1390</v>
      </c>
      <c r="E9" s="42" t="s">
        <v>1391</v>
      </c>
      <c r="F9" s="42" t="s">
        <v>1392</v>
      </c>
      <c r="G9" s="42" t="s">
        <v>1393</v>
      </c>
      <c r="H9" s="42" t="s">
        <v>1362</v>
      </c>
      <c r="I9" s="42" t="s">
        <v>1394</v>
      </c>
      <c r="J9" s="42" t="s">
        <v>1395</v>
      </c>
      <c r="K9" s="42" t="s">
        <v>1396</v>
      </c>
      <c r="L9" s="42" t="s">
        <v>1397</v>
      </c>
      <c r="M9" s="42" t="s">
        <v>1398</v>
      </c>
      <c r="N9" s="41" t="s">
        <v>1399</v>
      </c>
      <c r="O9" s="41" t="s">
        <v>1400</v>
      </c>
      <c r="P9" s="41" t="s">
        <v>1401</v>
      </c>
      <c r="Q9" s="41" t="s">
        <v>1402</v>
      </c>
      <c r="R9" s="41" t="s">
        <v>1403</v>
      </c>
      <c r="S9" s="41" t="s">
        <v>1404</v>
      </c>
    </row>
    <row r="10" spans="1:24" x14ac:dyDescent="0.3">
      <c r="A10" s="42">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2">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2">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2">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1" t="s">
        <v>511</v>
      </c>
      <c r="B14" s="41"/>
      <c r="C14" s="41"/>
      <c r="D14" s="41"/>
      <c r="E14" s="41"/>
      <c r="F14" s="41"/>
      <c r="G14" s="41"/>
      <c r="H14" s="41"/>
      <c r="I14" s="41"/>
      <c r="J14" s="41"/>
      <c r="K14" s="41"/>
      <c r="L14" s="41"/>
      <c r="M14" s="41"/>
      <c r="N14" s="41"/>
      <c r="O14" s="41"/>
      <c r="P14" s="41"/>
      <c r="Q14" s="41"/>
      <c r="R14" s="41"/>
      <c r="S14" s="41"/>
    </row>
    <row r="15" spans="1:24" x14ac:dyDescent="0.3">
      <c r="A15" s="42" t="s">
        <v>1405</v>
      </c>
      <c r="B15" s="42" t="s">
        <v>1406</v>
      </c>
      <c r="C15" s="42" t="s">
        <v>1407</v>
      </c>
      <c r="D15" s="42" t="s">
        <v>1408</v>
      </c>
      <c r="E15" s="41"/>
      <c r="F15" s="41"/>
      <c r="G15" s="41"/>
      <c r="H15" s="41"/>
      <c r="I15" s="41"/>
      <c r="J15" s="41"/>
      <c r="K15" s="41"/>
      <c r="L15" s="41"/>
      <c r="M15" s="41"/>
      <c r="N15" s="41"/>
      <c r="O15" s="41"/>
      <c r="P15" s="41"/>
      <c r="Q15" s="41"/>
      <c r="R15" s="41"/>
      <c r="S15" s="41"/>
    </row>
    <row r="16" spans="1:24" x14ac:dyDescent="0.3">
      <c r="A16" s="42">
        <v>1</v>
      </c>
      <c r="B16" s="6">
        <v>0</v>
      </c>
      <c r="C16" s="6">
        <v>-185</v>
      </c>
      <c r="D16" s="6" t="s">
        <v>17</v>
      </c>
      <c r="E16" s="41"/>
      <c r="F16" s="41"/>
      <c r="G16" s="41"/>
      <c r="H16" s="41"/>
      <c r="I16" s="41"/>
      <c r="J16" s="41"/>
      <c r="K16" s="41"/>
      <c r="L16" s="41"/>
      <c r="M16" s="41"/>
      <c r="N16" s="41"/>
      <c r="O16" s="41"/>
      <c r="P16" s="41"/>
      <c r="Q16" s="41"/>
      <c r="R16" s="41"/>
      <c r="S16" s="41"/>
    </row>
    <row r="17" spans="1:20" x14ac:dyDescent="0.3">
      <c r="A17" s="42">
        <v>2</v>
      </c>
      <c r="B17" s="6">
        <v>0</v>
      </c>
      <c r="C17" s="6">
        <v>-185</v>
      </c>
      <c r="D17" s="6" t="s">
        <v>17</v>
      </c>
      <c r="E17" s="41"/>
      <c r="F17" s="41"/>
      <c r="G17" s="41"/>
      <c r="H17" s="41"/>
      <c r="I17" s="41"/>
      <c r="J17" s="41"/>
      <c r="K17" s="41"/>
      <c r="L17" s="41"/>
      <c r="M17" s="41"/>
      <c r="N17" s="41"/>
      <c r="O17" s="41"/>
      <c r="P17" s="41"/>
      <c r="Q17" s="41"/>
      <c r="R17" s="41"/>
      <c r="S17" s="41"/>
    </row>
    <row r="18" spans="1:20" x14ac:dyDescent="0.3">
      <c r="A18" s="42">
        <v>3</v>
      </c>
      <c r="B18" s="6">
        <v>0</v>
      </c>
      <c r="C18" s="6">
        <v>-185</v>
      </c>
      <c r="D18" s="6" t="s">
        <v>17</v>
      </c>
      <c r="E18" s="41"/>
      <c r="F18" s="41"/>
      <c r="G18" s="41"/>
      <c r="H18" s="41"/>
      <c r="I18" s="41"/>
      <c r="J18" s="41"/>
      <c r="K18" s="41"/>
      <c r="L18" s="41"/>
      <c r="M18" s="41"/>
      <c r="N18" s="41"/>
      <c r="O18" s="41"/>
      <c r="P18" s="41"/>
      <c r="Q18" s="41"/>
      <c r="R18" s="41"/>
      <c r="S18" s="41"/>
    </row>
    <row r="19" spans="1:20" x14ac:dyDescent="0.3">
      <c r="A19" s="42">
        <v>4</v>
      </c>
      <c r="B19" s="6">
        <v>0</v>
      </c>
      <c r="C19" s="6">
        <v>-185</v>
      </c>
      <c r="D19" s="6" t="s">
        <v>17</v>
      </c>
      <c r="E19" s="41"/>
      <c r="F19" s="41"/>
      <c r="G19" s="41"/>
      <c r="H19" s="41"/>
      <c r="I19" s="41"/>
      <c r="J19" s="41"/>
      <c r="K19" s="41"/>
      <c r="L19" s="41"/>
      <c r="M19" s="41"/>
      <c r="N19" s="41"/>
      <c r="O19" s="41"/>
      <c r="P19" s="41"/>
      <c r="Q19" s="41"/>
      <c r="R19" s="41"/>
      <c r="S19" s="41"/>
    </row>
    <row r="20" spans="1:20" x14ac:dyDescent="0.3">
      <c r="A20" s="41"/>
      <c r="B20" s="41"/>
      <c r="C20" s="41"/>
      <c r="D20" s="41"/>
      <c r="E20" s="41"/>
      <c r="F20" s="41"/>
      <c r="G20" s="41"/>
      <c r="H20" s="41"/>
      <c r="I20" s="41"/>
      <c r="J20" s="41"/>
      <c r="K20" s="41"/>
      <c r="L20" s="41"/>
      <c r="M20" s="41"/>
      <c r="N20" s="41"/>
      <c r="O20" s="41"/>
      <c r="P20" s="41"/>
      <c r="Q20" s="41"/>
      <c r="R20" s="41"/>
      <c r="S20" s="41"/>
      <c r="T20" t="s">
        <v>1618</v>
      </c>
    </row>
    <row r="21" spans="1:20" x14ac:dyDescent="0.3">
      <c r="A21" s="42" t="s">
        <v>1409</v>
      </c>
      <c r="B21" s="42"/>
      <c r="C21" s="42" t="s">
        <v>1616</v>
      </c>
      <c r="D21" s="41"/>
      <c r="E21" s="41"/>
      <c r="F21" s="41"/>
      <c r="G21" s="41"/>
      <c r="H21" s="41"/>
      <c r="I21" s="41"/>
      <c r="J21" s="41"/>
      <c r="K21" s="41"/>
      <c r="L21" s="41"/>
      <c r="M21" s="41"/>
      <c r="N21" s="41"/>
      <c r="O21" s="41"/>
      <c r="P21" s="41"/>
      <c r="Q21" s="41"/>
      <c r="R21" s="41"/>
      <c r="S21" s="41"/>
      <c r="T21" t="s">
        <v>1617</v>
      </c>
    </row>
    <row r="22" spans="1:20" x14ac:dyDescent="0.3">
      <c r="A22" s="42">
        <v>1</v>
      </c>
      <c r="B22" s="6" t="s">
        <v>17</v>
      </c>
      <c r="C22" s="6">
        <v>0</v>
      </c>
      <c r="D22" s="41"/>
      <c r="E22" s="41"/>
      <c r="F22" s="41"/>
      <c r="G22" s="41"/>
      <c r="H22" s="41"/>
      <c r="I22" s="41"/>
      <c r="J22" s="41"/>
      <c r="K22" s="41"/>
      <c r="L22" s="41"/>
      <c r="M22" s="41"/>
      <c r="N22" s="41"/>
      <c r="O22" s="41"/>
      <c r="P22" s="41"/>
      <c r="Q22" s="41"/>
      <c r="R22" s="41"/>
      <c r="S22" s="41"/>
    </row>
    <row r="23" spans="1:20" x14ac:dyDescent="0.3">
      <c r="A23" s="42">
        <v>2</v>
      </c>
      <c r="B23" s="6" t="s">
        <v>17</v>
      </c>
      <c r="C23" s="6">
        <v>0</v>
      </c>
      <c r="D23" s="41"/>
      <c r="E23" s="41"/>
      <c r="F23" s="41"/>
      <c r="G23" s="41"/>
      <c r="H23" s="41"/>
      <c r="I23" s="41"/>
      <c r="J23" s="41"/>
      <c r="K23" s="41"/>
      <c r="L23" s="41"/>
      <c r="M23" s="41"/>
      <c r="N23" s="41"/>
      <c r="O23" s="41"/>
      <c r="P23" s="41"/>
      <c r="Q23" s="41"/>
      <c r="R23" s="41"/>
      <c r="S23" s="41"/>
    </row>
    <row r="24" spans="1:20" x14ac:dyDescent="0.3">
      <c r="A24" s="42">
        <v>3</v>
      </c>
      <c r="B24" s="6" t="s">
        <v>17</v>
      </c>
      <c r="C24" s="6">
        <v>0</v>
      </c>
      <c r="D24" s="41"/>
      <c r="E24" s="41"/>
      <c r="F24" s="41"/>
      <c r="G24" s="41"/>
      <c r="H24" s="41"/>
      <c r="I24" s="41"/>
      <c r="J24" s="41"/>
      <c r="K24" s="41"/>
      <c r="L24" s="41"/>
      <c r="M24" s="41"/>
      <c r="N24" s="41"/>
      <c r="O24" s="41"/>
      <c r="P24" s="41"/>
      <c r="Q24" s="41"/>
      <c r="R24" s="41"/>
      <c r="S24" s="41"/>
    </row>
    <row r="25" spans="1:20" x14ac:dyDescent="0.3">
      <c r="A25" s="42">
        <v>4</v>
      </c>
      <c r="B25" s="6" t="s">
        <v>17</v>
      </c>
      <c r="C25" s="6">
        <v>0</v>
      </c>
      <c r="D25" s="41"/>
      <c r="E25" s="41"/>
      <c r="F25" s="41"/>
      <c r="G25" s="41"/>
      <c r="H25" s="41"/>
      <c r="I25" s="41"/>
      <c r="J25" s="41"/>
      <c r="K25" s="41"/>
      <c r="L25" s="41"/>
      <c r="M25" s="41"/>
      <c r="N25" s="41"/>
      <c r="O25" s="41"/>
      <c r="P25" s="41"/>
      <c r="Q25" s="41"/>
      <c r="R25" s="41"/>
      <c r="S25" s="41"/>
    </row>
    <row r="26" spans="1:20" x14ac:dyDescent="0.3">
      <c r="A26" s="41"/>
      <c r="B26" s="41"/>
      <c r="C26" s="41"/>
      <c r="D26" s="41"/>
      <c r="E26" s="41"/>
      <c r="F26" s="41"/>
      <c r="G26" s="41"/>
      <c r="H26" s="41"/>
      <c r="I26" s="41"/>
      <c r="J26" s="41"/>
      <c r="K26" s="41"/>
      <c r="L26" s="41"/>
      <c r="M26" s="41"/>
      <c r="N26" s="41"/>
      <c r="O26" s="41"/>
      <c r="P26" s="41"/>
      <c r="Q26" s="41"/>
      <c r="R26" s="41"/>
      <c r="S26" s="41"/>
    </row>
    <row r="27" spans="1:20" x14ac:dyDescent="0.3">
      <c r="A27" s="42" t="s">
        <v>1410</v>
      </c>
      <c r="B27" s="42" t="s">
        <v>1411</v>
      </c>
      <c r="C27" s="42" t="s">
        <v>1385</v>
      </c>
      <c r="D27" s="41"/>
      <c r="E27" s="41"/>
      <c r="F27" s="41"/>
      <c r="G27" s="41"/>
      <c r="H27" s="41"/>
      <c r="I27" s="41"/>
      <c r="J27" s="41"/>
      <c r="K27" s="41"/>
      <c r="L27" s="41"/>
      <c r="M27" s="41"/>
      <c r="N27" s="41"/>
      <c r="O27" s="41"/>
      <c r="P27" s="41"/>
      <c r="Q27" s="41"/>
      <c r="R27" s="41"/>
      <c r="S27" s="41"/>
    </row>
    <row r="28" spans="1:20" x14ac:dyDescent="0.3">
      <c r="A28" s="42"/>
      <c r="B28" s="6" t="s">
        <v>17</v>
      </c>
      <c r="C28" s="6">
        <v>1</v>
      </c>
      <c r="D28" s="41"/>
      <c r="E28" s="41"/>
      <c r="F28" s="41"/>
      <c r="G28" s="41"/>
      <c r="H28" s="41"/>
      <c r="I28" s="41"/>
      <c r="J28" s="41"/>
      <c r="K28" s="41"/>
      <c r="L28" s="41"/>
      <c r="M28" s="41"/>
      <c r="N28" s="41"/>
      <c r="O28" s="41"/>
      <c r="P28" s="41"/>
      <c r="Q28" s="41"/>
      <c r="R28" s="41"/>
      <c r="S28" s="41"/>
    </row>
    <row r="29" spans="1:20" x14ac:dyDescent="0.3">
      <c r="A29" s="41"/>
      <c r="B29" s="41"/>
      <c r="C29" s="41"/>
      <c r="D29" s="41"/>
      <c r="E29" s="41"/>
      <c r="F29" s="41"/>
      <c r="G29" s="41"/>
      <c r="H29" s="41"/>
      <c r="I29" s="41"/>
      <c r="J29" s="41"/>
      <c r="K29" s="41"/>
      <c r="L29" s="41"/>
      <c r="M29" s="41"/>
      <c r="N29" s="41"/>
      <c r="O29" s="41"/>
      <c r="P29" s="41"/>
      <c r="Q29" s="41"/>
      <c r="R29" s="41"/>
      <c r="S29" s="41"/>
    </row>
    <row r="30" spans="1:20" x14ac:dyDescent="0.3">
      <c r="A30" s="42" t="s">
        <v>1412</v>
      </c>
      <c r="B30" s="42" t="s">
        <v>1388</v>
      </c>
      <c r="C30" s="42" t="s">
        <v>1389</v>
      </c>
      <c r="D30" s="42" t="s">
        <v>1391</v>
      </c>
      <c r="E30" s="42" t="s">
        <v>1392</v>
      </c>
      <c r="F30" s="42" t="s">
        <v>1393</v>
      </c>
      <c r="G30" s="42" t="s">
        <v>1413</v>
      </c>
      <c r="H30" s="42" t="s">
        <v>1414</v>
      </c>
      <c r="I30" s="42" t="s">
        <v>1415</v>
      </c>
      <c r="J30" s="42" t="s">
        <v>1416</v>
      </c>
      <c r="K30" s="42" t="s">
        <v>1417</v>
      </c>
      <c r="L30" s="42" t="s">
        <v>1434</v>
      </c>
      <c r="M30" s="41"/>
      <c r="N30" s="41"/>
      <c r="O30" s="41"/>
      <c r="P30" s="41"/>
      <c r="Q30" s="41"/>
      <c r="R30" s="41"/>
      <c r="S30" s="41"/>
    </row>
    <row r="31" spans="1:20" x14ac:dyDescent="0.3">
      <c r="A31" s="42">
        <v>1</v>
      </c>
      <c r="B31" s="6" t="s">
        <v>40</v>
      </c>
      <c r="C31" s="6">
        <v>1</v>
      </c>
      <c r="D31" s="6" t="s">
        <v>2</v>
      </c>
      <c r="E31" s="6">
        <v>10</v>
      </c>
      <c r="F31" s="6">
        <v>45</v>
      </c>
      <c r="G31" s="6">
        <v>12</v>
      </c>
      <c r="H31" s="6">
        <v>2</v>
      </c>
      <c r="I31" s="6">
        <v>1</v>
      </c>
      <c r="J31" s="6">
        <v>1</v>
      </c>
      <c r="K31" s="6" t="s">
        <v>17</v>
      </c>
      <c r="L31" s="6" t="s">
        <v>17</v>
      </c>
      <c r="M31" s="41"/>
      <c r="N31" s="41"/>
      <c r="O31" s="41"/>
      <c r="P31" s="41"/>
      <c r="Q31" s="41"/>
      <c r="R31" s="41"/>
      <c r="S31" s="41"/>
    </row>
    <row r="32" spans="1:20" x14ac:dyDescent="0.3">
      <c r="A32" s="41"/>
      <c r="B32" s="41"/>
      <c r="C32" s="41"/>
      <c r="D32" s="41"/>
      <c r="E32" s="41"/>
      <c r="F32" s="41"/>
      <c r="G32" s="41"/>
      <c r="H32" s="41"/>
      <c r="I32" s="41"/>
      <c r="J32" s="41"/>
      <c r="K32" s="41"/>
      <c r="L32" s="41"/>
      <c r="M32" s="41"/>
      <c r="N32" s="41"/>
      <c r="O32" s="41"/>
      <c r="P32" s="41"/>
      <c r="Q32" s="41"/>
      <c r="R32" s="41"/>
      <c r="S32" s="41"/>
    </row>
    <row r="33" spans="1:20" x14ac:dyDescent="0.3">
      <c r="A33" s="42" t="s">
        <v>1418</v>
      </c>
      <c r="B33" s="42" t="s">
        <v>1419</v>
      </c>
      <c r="C33" s="41"/>
      <c r="D33" s="41"/>
      <c r="E33" s="41"/>
      <c r="F33" s="41"/>
      <c r="G33" s="41"/>
      <c r="H33" s="41"/>
      <c r="I33" s="41"/>
      <c r="J33" s="41"/>
      <c r="K33" s="41"/>
      <c r="L33" s="41"/>
      <c r="M33" s="41"/>
      <c r="N33" s="41"/>
      <c r="O33" s="41"/>
      <c r="P33" s="41"/>
      <c r="Q33" s="41"/>
      <c r="R33" s="41"/>
      <c r="S33" s="41"/>
    </row>
    <row r="34" spans="1:20" x14ac:dyDescent="0.3">
      <c r="A34" s="42"/>
      <c r="B34" s="6">
        <v>2</v>
      </c>
      <c r="C34" s="41"/>
      <c r="D34" s="41"/>
      <c r="E34" s="41"/>
      <c r="F34" s="41"/>
      <c r="G34" s="41"/>
      <c r="H34" s="41"/>
      <c r="I34" s="41"/>
      <c r="J34" s="41"/>
      <c r="K34" s="41"/>
      <c r="L34" s="41"/>
      <c r="M34" s="41"/>
      <c r="N34" s="41"/>
      <c r="O34" s="41"/>
      <c r="P34" s="41"/>
      <c r="Q34" s="41"/>
      <c r="R34" s="41"/>
      <c r="S34" s="41"/>
    </row>
    <row r="35" spans="1:20" x14ac:dyDescent="0.3">
      <c r="A35" s="41"/>
      <c r="B35" s="41"/>
      <c r="C35" s="41"/>
      <c r="D35" s="41"/>
      <c r="E35" s="41"/>
      <c r="F35" s="41"/>
      <c r="G35" s="41"/>
      <c r="H35" s="41"/>
      <c r="I35" s="41"/>
      <c r="J35" s="41"/>
      <c r="K35" s="41"/>
      <c r="L35" s="41"/>
      <c r="M35" s="41"/>
      <c r="N35" s="41"/>
      <c r="O35" s="41"/>
      <c r="P35" s="41"/>
      <c r="Q35" s="41"/>
      <c r="R35" s="41"/>
      <c r="S35" s="41"/>
    </row>
    <row r="36" spans="1:20" x14ac:dyDescent="0.3">
      <c r="A36" s="42" t="s">
        <v>1420</v>
      </c>
      <c r="B36" s="42" t="s">
        <v>1424</v>
      </c>
      <c r="C36" s="42" t="s">
        <v>1425</v>
      </c>
      <c r="D36" s="42" t="s">
        <v>1426</v>
      </c>
      <c r="E36" s="42" t="s">
        <v>1427</v>
      </c>
      <c r="F36" s="42" t="s">
        <v>1428</v>
      </c>
      <c r="G36" s="42" t="s">
        <v>1429</v>
      </c>
      <c r="H36" s="42" t="s">
        <v>1430</v>
      </c>
      <c r="I36" s="42" t="s">
        <v>1431</v>
      </c>
      <c r="J36" s="42" t="s">
        <v>1432</v>
      </c>
      <c r="K36" s="42" t="s">
        <v>1433</v>
      </c>
      <c r="L36" s="41"/>
      <c r="M36" s="41"/>
      <c r="N36" s="41"/>
      <c r="O36" s="41"/>
      <c r="P36" s="41"/>
      <c r="Q36" s="41"/>
      <c r="R36" s="41"/>
      <c r="S36" s="41"/>
      <c r="T36" t="s">
        <v>1423</v>
      </c>
    </row>
    <row r="37" spans="1:20" x14ac:dyDescent="0.3">
      <c r="A37" s="42">
        <v>1</v>
      </c>
      <c r="B37" s="6">
        <v>11.11</v>
      </c>
      <c r="C37" s="6">
        <v>11.11</v>
      </c>
      <c r="D37" s="42"/>
      <c r="E37" s="42"/>
      <c r="F37" s="42"/>
      <c r="G37" s="42"/>
      <c r="H37" s="42"/>
      <c r="I37" s="42"/>
      <c r="J37" s="42"/>
      <c r="K37" s="42"/>
      <c r="L37" s="41"/>
      <c r="M37" s="41"/>
      <c r="N37" s="41"/>
      <c r="O37" s="41"/>
      <c r="P37" s="41"/>
      <c r="Q37" s="41"/>
      <c r="R37" s="41"/>
      <c r="S37" s="41"/>
    </row>
    <row r="38" spans="1:20" x14ac:dyDescent="0.3">
      <c r="A38" s="42">
        <v>2</v>
      </c>
      <c r="B38" s="6">
        <v>15.55</v>
      </c>
      <c r="C38" s="6">
        <v>15.55</v>
      </c>
      <c r="D38" s="42"/>
      <c r="E38" s="42"/>
      <c r="F38" s="42"/>
      <c r="G38" s="42"/>
      <c r="H38" s="42"/>
      <c r="I38" s="42"/>
      <c r="J38" s="42"/>
      <c r="K38" s="42"/>
      <c r="L38" s="41"/>
      <c r="M38" s="41"/>
      <c r="N38" s="41"/>
      <c r="O38" s="41"/>
      <c r="P38" s="41"/>
      <c r="Q38" s="41"/>
      <c r="R38" s="41"/>
      <c r="S38" s="41"/>
    </row>
  </sheetData>
  <hyperlinks>
    <hyperlink ref="X3" location="'Index of Sheets'!A1" display="'Index of Sheets'!A1" xr:uid="{B3204482-A10B-4ADA-8ADC-88D6FB511093}"/>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705" r:id="rId3" name="Button 1">
              <controlPr defaultSize="0" print="0" autoFill="0" autoPict="0" macro="[0]!Button4_Click">
                <anchor moveWithCells="1" sizeWithCells="1">
                  <from>
                    <xdr:col>20</xdr:col>
                    <xdr:colOff>68580</xdr:colOff>
                    <xdr:row>1</xdr:row>
                    <xdr:rowOff>60960</xdr:rowOff>
                  </from>
                  <to>
                    <xdr:col>22</xdr:col>
                    <xdr:colOff>449580</xdr:colOff>
                    <xdr:row>5</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U10" sqref="U10"/>
    </sheetView>
  </sheetViews>
  <sheetFormatPr defaultRowHeight="14.4" x14ac:dyDescent="0.3"/>
  <sheetData>
    <row r="1" spans="1:24" x14ac:dyDescent="0.3">
      <c r="A1" s="41" t="s">
        <v>1380</v>
      </c>
      <c r="B1" s="41"/>
      <c r="C1" s="41"/>
      <c r="D1" s="41"/>
      <c r="E1" s="41"/>
      <c r="F1" s="41"/>
      <c r="G1" s="41"/>
      <c r="H1" s="41"/>
      <c r="I1" s="41"/>
      <c r="J1" s="41"/>
      <c r="K1" s="41"/>
      <c r="L1" s="41"/>
      <c r="M1" s="41"/>
      <c r="N1" s="41"/>
      <c r="O1" s="41"/>
      <c r="P1" s="41"/>
      <c r="Q1" s="41"/>
      <c r="R1" s="41"/>
      <c r="S1" s="41"/>
    </row>
    <row r="2" spans="1:24" x14ac:dyDescent="0.3">
      <c r="A2" s="41" t="s">
        <v>1381</v>
      </c>
      <c r="B2" s="41"/>
      <c r="C2" s="41"/>
      <c r="D2" s="41"/>
      <c r="E2" s="41"/>
      <c r="F2" s="41"/>
      <c r="G2" s="41"/>
      <c r="H2" s="41"/>
      <c r="I2" s="41"/>
      <c r="J2" s="41"/>
      <c r="K2" s="41"/>
      <c r="L2" s="41"/>
      <c r="M2" s="41"/>
      <c r="N2" s="41"/>
      <c r="O2" s="41"/>
      <c r="P2" s="41"/>
      <c r="Q2" s="41"/>
      <c r="R2" s="41"/>
      <c r="S2" s="41"/>
      <c r="X2" t="s">
        <v>1673</v>
      </c>
    </row>
    <row r="3" spans="1:24" x14ac:dyDescent="0.3">
      <c r="A3" s="41" t="s">
        <v>1421</v>
      </c>
      <c r="B3" s="41" t="s">
        <v>1422</v>
      </c>
      <c r="C3" s="41"/>
      <c r="D3" s="41"/>
      <c r="E3" s="41"/>
      <c r="F3" s="41"/>
      <c r="G3" s="41"/>
      <c r="H3" s="41"/>
      <c r="I3" s="41"/>
      <c r="J3" s="41"/>
      <c r="K3" s="41"/>
      <c r="L3" s="41"/>
      <c r="M3" s="41"/>
      <c r="N3" s="41"/>
      <c r="O3" s="41"/>
      <c r="P3" s="41"/>
      <c r="Q3" s="41"/>
      <c r="R3" s="41"/>
      <c r="S3" s="41"/>
      <c r="X3" s="66" t="s">
        <v>1672</v>
      </c>
    </row>
    <row r="4" spans="1:24" x14ac:dyDescent="0.3">
      <c r="A4" s="42"/>
      <c r="B4" s="6">
        <v>0.125</v>
      </c>
      <c r="C4" s="41"/>
      <c r="D4" s="41"/>
      <c r="E4" s="41"/>
      <c r="F4" s="41"/>
      <c r="G4" s="41"/>
      <c r="H4" s="41"/>
      <c r="I4" s="41"/>
      <c r="J4" s="41"/>
      <c r="K4" s="41"/>
      <c r="L4" s="41"/>
      <c r="M4" s="41"/>
      <c r="N4" s="41"/>
      <c r="O4" s="41"/>
      <c r="P4" s="41"/>
      <c r="Q4" s="41"/>
      <c r="R4" s="41"/>
      <c r="S4" s="41"/>
    </row>
    <row r="5" spans="1:24" x14ac:dyDescent="0.3">
      <c r="A5" s="41" t="s">
        <v>1382</v>
      </c>
      <c r="B5" s="41"/>
      <c r="C5" s="41"/>
      <c r="D5" s="41"/>
      <c r="E5" s="41"/>
      <c r="F5" s="41"/>
      <c r="G5" s="41"/>
      <c r="H5" s="41"/>
      <c r="I5" s="41"/>
      <c r="J5" s="41"/>
      <c r="K5" s="41"/>
      <c r="L5" s="41"/>
      <c r="M5" s="41"/>
      <c r="N5" s="41"/>
      <c r="O5" s="41"/>
      <c r="P5" s="41"/>
      <c r="Q5" s="41"/>
      <c r="R5" s="41"/>
      <c r="S5" s="41"/>
    </row>
    <row r="6" spans="1:24" x14ac:dyDescent="0.3">
      <c r="A6" s="42" t="s">
        <v>1383</v>
      </c>
      <c r="B6" s="42" t="s">
        <v>1384</v>
      </c>
      <c r="C6" s="42" t="s">
        <v>1385</v>
      </c>
      <c r="D6" s="42" t="s">
        <v>1386</v>
      </c>
      <c r="E6" s="41"/>
      <c r="F6" s="41"/>
      <c r="G6" s="41"/>
      <c r="H6" s="41"/>
      <c r="I6" s="41"/>
      <c r="J6" s="41"/>
      <c r="K6" s="41"/>
      <c r="L6" s="41"/>
      <c r="M6" s="41"/>
      <c r="N6" s="41"/>
      <c r="O6" s="41"/>
      <c r="P6" s="41"/>
      <c r="Q6" s="41"/>
      <c r="R6" s="41"/>
      <c r="S6" s="41"/>
    </row>
    <row r="7" spans="1:24" x14ac:dyDescent="0.3">
      <c r="A7" s="42"/>
      <c r="B7" s="6" t="s">
        <v>2</v>
      </c>
      <c r="C7" s="6">
        <v>4</v>
      </c>
      <c r="D7" s="6">
        <v>1</v>
      </c>
      <c r="E7" s="41"/>
      <c r="F7" s="41"/>
      <c r="G7" s="41"/>
      <c r="H7" s="41"/>
      <c r="I7" s="41"/>
      <c r="J7" s="41"/>
      <c r="K7" s="41"/>
      <c r="L7" s="41"/>
      <c r="M7" s="41"/>
      <c r="N7" s="41"/>
      <c r="O7" s="41"/>
      <c r="P7" s="41"/>
      <c r="Q7" s="41"/>
      <c r="R7" s="41"/>
      <c r="S7" s="41"/>
    </row>
    <row r="8" spans="1:24" x14ac:dyDescent="0.3">
      <c r="A8" s="41"/>
      <c r="B8" s="41"/>
      <c r="C8" s="41"/>
      <c r="D8" s="41"/>
      <c r="E8" s="41"/>
      <c r="F8" s="41"/>
      <c r="G8" s="41"/>
      <c r="H8" s="41"/>
      <c r="I8" s="41"/>
      <c r="J8" s="41"/>
      <c r="K8" s="41"/>
      <c r="L8" s="41"/>
      <c r="M8" s="41"/>
      <c r="N8" s="41"/>
      <c r="O8" s="41"/>
      <c r="P8" s="41"/>
      <c r="Q8" s="41"/>
      <c r="R8" s="41"/>
      <c r="S8" s="41"/>
    </row>
    <row r="9" spans="1:24" x14ac:dyDescent="0.3">
      <c r="A9" s="42" t="s">
        <v>1387</v>
      </c>
      <c r="B9" s="42" t="s">
        <v>1388</v>
      </c>
      <c r="C9" s="42" t="s">
        <v>1389</v>
      </c>
      <c r="D9" s="42" t="s">
        <v>1390</v>
      </c>
      <c r="E9" s="42" t="s">
        <v>1391</v>
      </c>
      <c r="F9" s="42" t="s">
        <v>1392</v>
      </c>
      <c r="G9" s="42" t="s">
        <v>1393</v>
      </c>
      <c r="H9" s="42" t="s">
        <v>1362</v>
      </c>
      <c r="I9" s="42" t="s">
        <v>1394</v>
      </c>
      <c r="J9" s="42" t="s">
        <v>1395</v>
      </c>
      <c r="K9" s="42" t="s">
        <v>1396</v>
      </c>
      <c r="L9" s="42" t="s">
        <v>1397</v>
      </c>
      <c r="M9" s="42" t="s">
        <v>1398</v>
      </c>
      <c r="N9" s="41" t="s">
        <v>1399</v>
      </c>
      <c r="O9" s="41" t="s">
        <v>1400</v>
      </c>
      <c r="P9" s="41" t="s">
        <v>1401</v>
      </c>
      <c r="Q9" s="41" t="s">
        <v>1402</v>
      </c>
      <c r="R9" s="41" t="s">
        <v>1403</v>
      </c>
      <c r="S9" s="41" t="s">
        <v>1404</v>
      </c>
    </row>
    <row r="10" spans="1:24" x14ac:dyDescent="0.3">
      <c r="A10" s="42">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2">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2">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2">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1" t="s">
        <v>511</v>
      </c>
      <c r="B14" s="41"/>
      <c r="C14" s="41"/>
      <c r="D14" s="41"/>
      <c r="E14" s="41"/>
      <c r="F14" s="41"/>
      <c r="G14" s="41"/>
      <c r="H14" s="41"/>
      <c r="I14" s="41"/>
      <c r="J14" s="41"/>
      <c r="K14" s="41"/>
      <c r="L14" s="41"/>
      <c r="M14" s="41"/>
      <c r="N14" s="41"/>
      <c r="O14" s="41"/>
      <c r="P14" s="41"/>
      <c r="Q14" s="41"/>
      <c r="R14" s="41"/>
      <c r="S14" s="41"/>
    </row>
    <row r="15" spans="1:24" x14ac:dyDescent="0.3">
      <c r="A15" s="42" t="s">
        <v>1405</v>
      </c>
      <c r="B15" s="42" t="s">
        <v>1406</v>
      </c>
      <c r="C15" s="42" t="s">
        <v>1407</v>
      </c>
      <c r="D15" s="42" t="s">
        <v>1408</v>
      </c>
      <c r="E15" s="41"/>
      <c r="F15" s="41"/>
      <c r="G15" s="41"/>
      <c r="H15" s="41"/>
      <c r="I15" s="41"/>
      <c r="J15" s="41"/>
      <c r="K15" s="41"/>
      <c r="L15" s="41"/>
      <c r="M15" s="41"/>
      <c r="N15" s="41"/>
      <c r="O15" s="41"/>
      <c r="P15" s="41"/>
      <c r="Q15" s="41"/>
      <c r="R15" s="41"/>
      <c r="S15" s="41"/>
    </row>
    <row r="16" spans="1:24" x14ac:dyDescent="0.3">
      <c r="A16" s="42">
        <v>1</v>
      </c>
      <c r="B16" s="6">
        <v>0</v>
      </c>
      <c r="C16" s="6">
        <v>-185</v>
      </c>
      <c r="D16" s="6" t="s">
        <v>17</v>
      </c>
      <c r="E16" s="41"/>
      <c r="F16" s="41"/>
      <c r="G16" s="41"/>
      <c r="H16" s="41"/>
      <c r="I16" s="41"/>
      <c r="J16" s="41"/>
      <c r="K16" s="41"/>
      <c r="L16" s="41"/>
      <c r="M16" s="41"/>
      <c r="N16" s="41"/>
      <c r="O16" s="41"/>
      <c r="P16" s="41"/>
      <c r="Q16" s="41"/>
      <c r="R16" s="41"/>
      <c r="S16" s="41"/>
    </row>
    <row r="17" spans="1:20" x14ac:dyDescent="0.3">
      <c r="A17" s="42">
        <v>2</v>
      </c>
      <c r="B17" s="6">
        <v>0</v>
      </c>
      <c r="C17" s="6">
        <v>-185</v>
      </c>
      <c r="D17" s="6" t="s">
        <v>17</v>
      </c>
      <c r="E17" s="41"/>
      <c r="F17" s="41"/>
      <c r="G17" s="41"/>
      <c r="H17" s="41"/>
      <c r="I17" s="41"/>
      <c r="J17" s="41"/>
      <c r="K17" s="41"/>
      <c r="L17" s="41"/>
      <c r="M17" s="41"/>
      <c r="N17" s="41"/>
      <c r="O17" s="41"/>
      <c r="P17" s="41"/>
      <c r="Q17" s="41"/>
      <c r="R17" s="41"/>
      <c r="S17" s="41"/>
    </row>
    <row r="18" spans="1:20" x14ac:dyDescent="0.3">
      <c r="A18" s="42">
        <v>3</v>
      </c>
      <c r="B18" s="6">
        <v>0</v>
      </c>
      <c r="C18" s="6">
        <v>-185</v>
      </c>
      <c r="D18" s="6" t="s">
        <v>17</v>
      </c>
      <c r="E18" s="41"/>
      <c r="F18" s="41"/>
      <c r="G18" s="41"/>
      <c r="H18" s="41"/>
      <c r="I18" s="41"/>
      <c r="J18" s="41"/>
      <c r="K18" s="41"/>
      <c r="L18" s="41"/>
      <c r="M18" s="41"/>
      <c r="N18" s="41"/>
      <c r="O18" s="41"/>
      <c r="P18" s="41"/>
      <c r="Q18" s="41"/>
      <c r="R18" s="41"/>
      <c r="S18" s="41"/>
    </row>
    <row r="19" spans="1:20" x14ac:dyDescent="0.3">
      <c r="A19" s="42">
        <v>4</v>
      </c>
      <c r="B19" s="6">
        <v>0</v>
      </c>
      <c r="C19" s="6">
        <v>-185</v>
      </c>
      <c r="D19" s="6" t="s">
        <v>17</v>
      </c>
      <c r="E19" s="41"/>
      <c r="F19" s="41"/>
      <c r="G19" s="41"/>
      <c r="H19" s="41"/>
      <c r="I19" s="41"/>
      <c r="J19" s="41"/>
      <c r="K19" s="41"/>
      <c r="L19" s="41"/>
      <c r="M19" s="41"/>
      <c r="N19" s="41"/>
      <c r="O19" s="41"/>
      <c r="P19" s="41"/>
      <c r="Q19" s="41"/>
      <c r="R19" s="41"/>
      <c r="S19" s="41"/>
    </row>
    <row r="20" spans="1:20" x14ac:dyDescent="0.3">
      <c r="A20" s="41"/>
      <c r="B20" s="41"/>
      <c r="C20" s="41"/>
      <c r="D20" s="41"/>
      <c r="E20" s="41"/>
      <c r="F20" s="41"/>
      <c r="G20" s="41"/>
      <c r="H20" s="41"/>
      <c r="I20" s="41"/>
      <c r="J20" s="41"/>
      <c r="K20" s="41"/>
      <c r="L20" s="41"/>
      <c r="M20" s="41"/>
      <c r="N20" s="41"/>
      <c r="O20" s="41"/>
      <c r="P20" s="41"/>
      <c r="Q20" s="41"/>
      <c r="R20" s="41"/>
      <c r="S20" s="41"/>
      <c r="T20" t="s">
        <v>1618</v>
      </c>
    </row>
    <row r="21" spans="1:20" x14ac:dyDescent="0.3">
      <c r="A21" s="42" t="s">
        <v>1409</v>
      </c>
      <c r="B21" s="42"/>
      <c r="C21" s="42" t="s">
        <v>1616</v>
      </c>
      <c r="D21" s="41"/>
      <c r="E21" s="41"/>
      <c r="F21" s="41"/>
      <c r="G21" s="41"/>
      <c r="H21" s="41"/>
      <c r="I21" s="41"/>
      <c r="J21" s="41"/>
      <c r="K21" s="41"/>
      <c r="L21" s="41"/>
      <c r="M21" s="41"/>
      <c r="N21" s="41"/>
      <c r="O21" s="41"/>
      <c r="P21" s="41"/>
      <c r="Q21" s="41"/>
      <c r="R21" s="41"/>
      <c r="S21" s="41"/>
      <c r="T21" t="s">
        <v>1617</v>
      </c>
    </row>
    <row r="22" spans="1:20" x14ac:dyDescent="0.3">
      <c r="A22" s="42">
        <v>1</v>
      </c>
      <c r="B22" s="6" t="s">
        <v>17</v>
      </c>
      <c r="C22" s="6">
        <v>0</v>
      </c>
      <c r="D22" s="41"/>
      <c r="E22" s="41"/>
      <c r="F22" s="41"/>
      <c r="G22" s="41"/>
      <c r="H22" s="41"/>
      <c r="I22" s="41"/>
      <c r="J22" s="41"/>
      <c r="K22" s="41"/>
      <c r="L22" s="41"/>
      <c r="M22" s="41"/>
      <c r="N22" s="41"/>
      <c r="O22" s="41"/>
      <c r="P22" s="41"/>
      <c r="Q22" s="41"/>
      <c r="R22" s="41"/>
      <c r="S22" s="41"/>
    </row>
    <row r="23" spans="1:20" x14ac:dyDescent="0.3">
      <c r="A23" s="42">
        <v>2</v>
      </c>
      <c r="B23" s="6" t="s">
        <v>17</v>
      </c>
      <c r="C23" s="6">
        <v>0</v>
      </c>
      <c r="D23" s="41"/>
      <c r="E23" s="41"/>
      <c r="F23" s="41"/>
      <c r="G23" s="41"/>
      <c r="H23" s="41"/>
      <c r="I23" s="41"/>
      <c r="J23" s="41"/>
      <c r="K23" s="41"/>
      <c r="L23" s="41"/>
      <c r="M23" s="41"/>
      <c r="N23" s="41"/>
      <c r="O23" s="41"/>
      <c r="P23" s="41"/>
      <c r="Q23" s="41"/>
      <c r="R23" s="41"/>
      <c r="S23" s="41"/>
    </row>
    <row r="24" spans="1:20" x14ac:dyDescent="0.3">
      <c r="A24" s="42">
        <v>3</v>
      </c>
      <c r="B24" s="6" t="s">
        <v>17</v>
      </c>
      <c r="C24" s="6">
        <v>0</v>
      </c>
      <c r="D24" s="41"/>
      <c r="E24" s="41"/>
      <c r="F24" s="41"/>
      <c r="G24" s="41"/>
      <c r="H24" s="41"/>
      <c r="I24" s="41"/>
      <c r="J24" s="41"/>
      <c r="K24" s="41"/>
      <c r="L24" s="41"/>
      <c r="M24" s="41"/>
      <c r="N24" s="41"/>
      <c r="O24" s="41"/>
      <c r="P24" s="41"/>
      <c r="Q24" s="41"/>
      <c r="R24" s="41"/>
      <c r="S24" s="41"/>
    </row>
    <row r="25" spans="1:20" x14ac:dyDescent="0.3">
      <c r="A25" s="42">
        <v>4</v>
      </c>
      <c r="B25" s="6" t="s">
        <v>17</v>
      </c>
      <c r="C25" s="6">
        <v>0</v>
      </c>
      <c r="D25" s="41"/>
      <c r="E25" s="41"/>
      <c r="F25" s="41"/>
      <c r="G25" s="41"/>
      <c r="H25" s="41"/>
      <c r="I25" s="41"/>
      <c r="J25" s="41"/>
      <c r="K25" s="41"/>
      <c r="L25" s="41"/>
      <c r="M25" s="41"/>
      <c r="N25" s="41"/>
      <c r="O25" s="41"/>
      <c r="P25" s="41"/>
      <c r="Q25" s="41"/>
      <c r="R25" s="41"/>
      <c r="S25" s="41"/>
    </row>
    <row r="26" spans="1:20" x14ac:dyDescent="0.3">
      <c r="A26" s="41"/>
      <c r="B26" s="41"/>
      <c r="C26" s="41"/>
      <c r="D26" s="41"/>
      <c r="E26" s="41"/>
      <c r="F26" s="41"/>
      <c r="G26" s="41"/>
      <c r="H26" s="41"/>
      <c r="I26" s="41"/>
      <c r="J26" s="41"/>
      <c r="K26" s="41"/>
      <c r="L26" s="41"/>
      <c r="M26" s="41"/>
      <c r="N26" s="41"/>
      <c r="O26" s="41"/>
      <c r="P26" s="41"/>
      <c r="Q26" s="41"/>
      <c r="R26" s="41"/>
      <c r="S26" s="41"/>
    </row>
    <row r="27" spans="1:20" x14ac:dyDescent="0.3">
      <c r="A27" s="42" t="s">
        <v>1410</v>
      </c>
      <c r="B27" s="42" t="s">
        <v>1411</v>
      </c>
      <c r="C27" s="42" t="s">
        <v>1385</v>
      </c>
      <c r="D27" s="41"/>
      <c r="E27" s="41"/>
      <c r="F27" s="41"/>
      <c r="G27" s="41"/>
      <c r="H27" s="41"/>
      <c r="I27" s="41"/>
      <c r="J27" s="41"/>
      <c r="K27" s="41"/>
      <c r="L27" s="41"/>
      <c r="M27" s="41"/>
      <c r="N27" s="41"/>
      <c r="O27" s="41"/>
      <c r="P27" s="41"/>
      <c r="Q27" s="41"/>
      <c r="R27" s="41"/>
      <c r="S27" s="41"/>
    </row>
    <row r="28" spans="1:20" x14ac:dyDescent="0.3">
      <c r="A28" s="42"/>
      <c r="B28" s="6" t="s">
        <v>17</v>
      </c>
      <c r="C28" s="6">
        <v>1</v>
      </c>
      <c r="D28" s="41"/>
      <c r="E28" s="41"/>
      <c r="F28" s="41"/>
      <c r="G28" s="41"/>
      <c r="H28" s="41"/>
      <c r="I28" s="41"/>
      <c r="J28" s="41"/>
      <c r="K28" s="41"/>
      <c r="L28" s="41"/>
      <c r="M28" s="41"/>
      <c r="N28" s="41"/>
      <c r="O28" s="41"/>
      <c r="P28" s="41"/>
      <c r="Q28" s="41"/>
      <c r="R28" s="41"/>
      <c r="S28" s="41"/>
    </row>
    <row r="29" spans="1:20" x14ac:dyDescent="0.3">
      <c r="A29" s="41"/>
      <c r="B29" s="41"/>
      <c r="C29" s="41"/>
      <c r="D29" s="41"/>
      <c r="E29" s="41"/>
      <c r="F29" s="41"/>
      <c r="G29" s="41"/>
      <c r="H29" s="41"/>
      <c r="I29" s="41"/>
      <c r="J29" s="41"/>
      <c r="K29" s="41"/>
      <c r="L29" s="41"/>
      <c r="M29" s="41"/>
      <c r="N29" s="41"/>
      <c r="O29" s="41"/>
      <c r="P29" s="41"/>
      <c r="Q29" s="41"/>
      <c r="R29" s="41"/>
      <c r="S29" s="41"/>
    </row>
    <row r="30" spans="1:20" x14ac:dyDescent="0.3">
      <c r="A30" s="42" t="s">
        <v>1412</v>
      </c>
      <c r="B30" s="42" t="s">
        <v>1388</v>
      </c>
      <c r="C30" s="42" t="s">
        <v>1389</v>
      </c>
      <c r="D30" s="42" t="s">
        <v>1391</v>
      </c>
      <c r="E30" s="42" t="s">
        <v>1392</v>
      </c>
      <c r="F30" s="42" t="s">
        <v>1393</v>
      </c>
      <c r="G30" s="42" t="s">
        <v>1413</v>
      </c>
      <c r="H30" s="42" t="s">
        <v>1414</v>
      </c>
      <c r="I30" s="42" t="s">
        <v>1415</v>
      </c>
      <c r="J30" s="42" t="s">
        <v>1416</v>
      </c>
      <c r="K30" s="42" t="s">
        <v>1417</v>
      </c>
      <c r="L30" s="42" t="s">
        <v>1434</v>
      </c>
      <c r="M30" s="41"/>
      <c r="N30" s="41"/>
      <c r="O30" s="41"/>
      <c r="P30" s="41"/>
      <c r="Q30" s="41"/>
      <c r="R30" s="41"/>
      <c r="S30" s="41"/>
    </row>
    <row r="31" spans="1:20" x14ac:dyDescent="0.3">
      <c r="A31" s="42">
        <v>1</v>
      </c>
      <c r="B31" s="6" t="s">
        <v>40</v>
      </c>
      <c r="C31" s="6">
        <v>1</v>
      </c>
      <c r="D31" s="6" t="s">
        <v>2</v>
      </c>
      <c r="E31" s="6">
        <v>10</v>
      </c>
      <c r="F31" s="6">
        <v>45</v>
      </c>
      <c r="G31" s="6">
        <v>12</v>
      </c>
      <c r="H31" s="6">
        <v>2</v>
      </c>
      <c r="I31" s="6">
        <v>1</v>
      </c>
      <c r="J31" s="6">
        <v>1</v>
      </c>
      <c r="K31" s="6" t="s">
        <v>17</v>
      </c>
      <c r="L31" s="6" t="s">
        <v>17</v>
      </c>
      <c r="M31" s="41"/>
      <c r="N31" s="41"/>
      <c r="O31" s="41"/>
      <c r="P31" s="41"/>
      <c r="Q31" s="41"/>
      <c r="R31" s="41"/>
      <c r="S31" s="41"/>
    </row>
    <row r="32" spans="1:20" x14ac:dyDescent="0.3">
      <c r="A32" s="41"/>
      <c r="B32" s="41"/>
      <c r="C32" s="41"/>
      <c r="D32" s="41"/>
      <c r="E32" s="41"/>
      <c r="F32" s="41"/>
      <c r="G32" s="41"/>
      <c r="H32" s="41"/>
      <c r="I32" s="41"/>
      <c r="J32" s="41"/>
      <c r="K32" s="41"/>
      <c r="L32" s="41"/>
      <c r="M32" s="41"/>
      <c r="N32" s="41"/>
      <c r="O32" s="41"/>
      <c r="P32" s="41"/>
      <c r="Q32" s="41"/>
      <c r="R32" s="41"/>
      <c r="S32" s="41"/>
    </row>
    <row r="33" spans="1:20" x14ac:dyDescent="0.3">
      <c r="A33" s="42" t="s">
        <v>1418</v>
      </c>
      <c r="B33" s="42" t="s">
        <v>1419</v>
      </c>
      <c r="C33" s="41"/>
      <c r="D33" s="41"/>
      <c r="E33" s="41"/>
      <c r="F33" s="41"/>
      <c r="G33" s="41"/>
      <c r="H33" s="41"/>
      <c r="I33" s="41"/>
      <c r="J33" s="41"/>
      <c r="K33" s="41"/>
      <c r="L33" s="41"/>
      <c r="M33" s="41"/>
      <c r="N33" s="41"/>
      <c r="O33" s="41"/>
      <c r="P33" s="41"/>
      <c r="Q33" s="41"/>
      <c r="R33" s="41"/>
      <c r="S33" s="41"/>
    </row>
    <row r="34" spans="1:20" x14ac:dyDescent="0.3">
      <c r="A34" s="42"/>
      <c r="B34" s="6">
        <v>2</v>
      </c>
      <c r="C34" s="41"/>
      <c r="D34" s="41"/>
      <c r="E34" s="41"/>
      <c r="F34" s="41"/>
      <c r="G34" s="41"/>
      <c r="H34" s="41"/>
      <c r="I34" s="41"/>
      <c r="J34" s="41"/>
      <c r="K34" s="41"/>
      <c r="L34" s="41"/>
      <c r="M34" s="41"/>
      <c r="N34" s="41"/>
      <c r="O34" s="41"/>
      <c r="P34" s="41"/>
      <c r="Q34" s="41"/>
      <c r="R34" s="41"/>
      <c r="S34" s="41"/>
    </row>
    <row r="35" spans="1:20" x14ac:dyDescent="0.3">
      <c r="A35" s="41"/>
      <c r="B35" s="41"/>
      <c r="C35" s="41"/>
      <c r="D35" s="41"/>
      <c r="E35" s="41"/>
      <c r="F35" s="41"/>
      <c r="G35" s="41"/>
      <c r="H35" s="41"/>
      <c r="I35" s="41"/>
      <c r="J35" s="41"/>
      <c r="K35" s="41"/>
      <c r="L35" s="41"/>
      <c r="M35" s="41"/>
      <c r="N35" s="41"/>
      <c r="O35" s="41"/>
      <c r="P35" s="41"/>
      <c r="Q35" s="41"/>
      <c r="R35" s="41"/>
      <c r="S35" s="41"/>
    </row>
    <row r="36" spans="1:20" x14ac:dyDescent="0.3">
      <c r="A36" s="42" t="s">
        <v>1420</v>
      </c>
      <c r="B36" s="42" t="s">
        <v>1424</v>
      </c>
      <c r="C36" s="42" t="s">
        <v>1425</v>
      </c>
      <c r="D36" s="42" t="s">
        <v>1426</v>
      </c>
      <c r="E36" s="42" t="s">
        <v>1427</v>
      </c>
      <c r="F36" s="42" t="s">
        <v>1428</v>
      </c>
      <c r="G36" s="42" t="s">
        <v>1429</v>
      </c>
      <c r="H36" s="42" t="s">
        <v>1430</v>
      </c>
      <c r="I36" s="42" t="s">
        <v>1431</v>
      </c>
      <c r="J36" s="42" t="s">
        <v>1432</v>
      </c>
      <c r="K36" s="42" t="s">
        <v>1433</v>
      </c>
      <c r="L36" s="41"/>
      <c r="M36" s="41"/>
      <c r="N36" s="41"/>
      <c r="O36" s="41"/>
      <c r="P36" s="41"/>
      <c r="Q36" s="41"/>
      <c r="R36" s="41"/>
      <c r="S36" s="41"/>
      <c r="T36" t="s">
        <v>1423</v>
      </c>
    </row>
    <row r="37" spans="1:20" x14ac:dyDescent="0.3">
      <c r="A37" s="42">
        <v>1</v>
      </c>
      <c r="B37" s="6">
        <v>11.11</v>
      </c>
      <c r="C37" s="6">
        <v>11.11</v>
      </c>
      <c r="D37" s="42"/>
      <c r="E37" s="42"/>
      <c r="F37" s="42"/>
      <c r="G37" s="42"/>
      <c r="H37" s="42"/>
      <c r="I37" s="42"/>
      <c r="J37" s="42"/>
      <c r="K37" s="42"/>
      <c r="L37" s="41"/>
      <c r="M37" s="41"/>
      <c r="N37" s="41"/>
      <c r="O37" s="41"/>
      <c r="P37" s="41"/>
      <c r="Q37" s="41"/>
      <c r="R37" s="41"/>
      <c r="S37" s="41"/>
    </row>
    <row r="38" spans="1:20" x14ac:dyDescent="0.3">
      <c r="A38" s="42">
        <v>2</v>
      </c>
      <c r="B38" s="6">
        <v>15.55</v>
      </c>
      <c r="C38" s="6">
        <v>15.55</v>
      </c>
      <c r="D38" s="42"/>
      <c r="E38" s="42"/>
      <c r="F38" s="42"/>
      <c r="G38" s="42"/>
      <c r="H38" s="42"/>
      <c r="I38" s="42"/>
      <c r="J38" s="42"/>
      <c r="K38" s="42"/>
      <c r="L38" s="41"/>
      <c r="M38" s="41"/>
      <c r="N38" s="41"/>
      <c r="O38" s="41"/>
      <c r="P38" s="41"/>
      <c r="Q38" s="41"/>
      <c r="R38" s="41"/>
      <c r="S38" s="41"/>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A9" sqref="A9"/>
    </sheetView>
  </sheetViews>
  <sheetFormatPr defaultRowHeight="14.4" x14ac:dyDescent="0.3"/>
  <cols>
    <col min="1" max="1" width="18" customWidth="1"/>
    <col min="2" max="2" width="15.6640625" customWidth="1"/>
  </cols>
  <sheetData>
    <row r="1" spans="1:9" x14ac:dyDescent="0.3">
      <c r="A1" s="43" t="s">
        <v>1460</v>
      </c>
      <c r="B1" s="43" t="s">
        <v>1435</v>
      </c>
      <c r="C1" s="43"/>
    </row>
    <row r="2" spans="1:9" x14ac:dyDescent="0.3">
      <c r="A2" s="43" t="s">
        <v>2</v>
      </c>
      <c r="B2" s="43">
        <v>1</v>
      </c>
      <c r="C2" s="43"/>
      <c r="I2" t="s">
        <v>1673</v>
      </c>
    </row>
    <row r="3" spans="1:9" x14ac:dyDescent="0.3">
      <c r="A3" s="43" t="s">
        <v>1436</v>
      </c>
      <c r="B3" s="43" t="s">
        <v>1437</v>
      </c>
      <c r="C3" s="43"/>
      <c r="I3" s="66" t="s">
        <v>1672</v>
      </c>
    </row>
    <row r="4" spans="1:9" x14ac:dyDescent="0.3">
      <c r="A4" s="43">
        <v>49</v>
      </c>
      <c r="B4" s="43">
        <v>165</v>
      </c>
      <c r="C4" s="43"/>
    </row>
    <row r="6" spans="1:9" x14ac:dyDescent="0.3">
      <c r="D6" t="s">
        <v>1461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5" t="s">
        <v>1438</v>
      </c>
      <c r="B1" s="45"/>
      <c r="C1" s="45"/>
      <c r="D1" s="45"/>
      <c r="E1" s="45"/>
      <c r="F1" s="45"/>
      <c r="G1" s="45"/>
      <c r="H1" s="45"/>
      <c r="I1" s="45"/>
      <c r="J1" s="45"/>
    </row>
    <row r="2" spans="1:15" x14ac:dyDescent="0.3">
      <c r="A2" s="45" t="s">
        <v>1439</v>
      </c>
      <c r="B2" s="45" t="s">
        <v>1440</v>
      </c>
      <c r="C2" s="45" t="s">
        <v>1441</v>
      </c>
      <c r="D2" s="45" t="s">
        <v>1442</v>
      </c>
      <c r="E2" s="45" t="s">
        <v>1443</v>
      </c>
      <c r="F2" s="45" t="s">
        <v>1421</v>
      </c>
      <c r="G2" s="45" t="s">
        <v>1444</v>
      </c>
      <c r="H2" s="45" t="s">
        <v>1445</v>
      </c>
      <c r="I2" s="45" t="s">
        <v>1446</v>
      </c>
      <c r="J2" s="45" t="s">
        <v>1447</v>
      </c>
      <c r="O2" t="s">
        <v>1673</v>
      </c>
    </row>
    <row r="3" spans="1:15" x14ac:dyDescent="0.3">
      <c r="A3" s="46" t="s">
        <v>2</v>
      </c>
      <c r="B3" s="46">
        <v>3</v>
      </c>
      <c r="C3" s="46">
        <v>5</v>
      </c>
      <c r="D3" s="46" t="s">
        <v>2</v>
      </c>
      <c r="E3" s="46" t="s">
        <v>17</v>
      </c>
      <c r="F3" s="46">
        <v>1</v>
      </c>
      <c r="G3" s="46">
        <v>1</v>
      </c>
      <c r="H3" s="46">
        <v>0</v>
      </c>
      <c r="I3" s="46">
        <v>0</v>
      </c>
      <c r="J3" s="46">
        <v>0</v>
      </c>
      <c r="O3" s="66" t="s">
        <v>1672</v>
      </c>
    </row>
    <row r="4" spans="1:15" x14ac:dyDescent="0.3">
      <c r="A4" s="47" t="s">
        <v>1448</v>
      </c>
      <c r="B4" s="47" t="s">
        <v>1449</v>
      </c>
      <c r="C4" s="47" t="s">
        <v>1450</v>
      </c>
      <c r="D4" s="47" t="s">
        <v>1451</v>
      </c>
      <c r="E4" s="47" t="s">
        <v>1452</v>
      </c>
      <c r="F4" s="47" t="s">
        <v>1453</v>
      </c>
      <c r="G4" s="47" t="s">
        <v>1454</v>
      </c>
      <c r="H4" s="47" t="s">
        <v>1455</v>
      </c>
      <c r="I4" s="45"/>
      <c r="J4" s="45"/>
    </row>
    <row r="5" spans="1:15" x14ac:dyDescent="0.3">
      <c r="A5" s="46">
        <v>1</v>
      </c>
      <c r="B5" s="46">
        <v>15</v>
      </c>
      <c r="C5" s="46">
        <v>100</v>
      </c>
      <c r="D5" s="46">
        <v>120</v>
      </c>
      <c r="E5" s="46">
        <v>0</v>
      </c>
      <c r="F5" s="46">
        <v>0</v>
      </c>
      <c r="G5" s="46">
        <v>0</v>
      </c>
      <c r="H5" s="46">
        <v>100.5</v>
      </c>
      <c r="I5" s="45"/>
      <c r="J5" s="45"/>
    </row>
    <row r="6" spans="1:15" x14ac:dyDescent="0.3">
      <c r="A6" s="46">
        <v>2</v>
      </c>
      <c r="B6" s="46">
        <v>16</v>
      </c>
      <c r="C6" s="46">
        <v>100</v>
      </c>
      <c r="D6" s="46">
        <v>120</v>
      </c>
      <c r="E6" s="46">
        <v>0</v>
      </c>
      <c r="F6" s="46">
        <v>0</v>
      </c>
      <c r="G6" s="46">
        <v>0</v>
      </c>
      <c r="H6" s="46">
        <v>100.5</v>
      </c>
      <c r="I6" s="45"/>
      <c r="J6" s="45"/>
    </row>
    <row r="7" spans="1:15" x14ac:dyDescent="0.3">
      <c r="A7" s="46">
        <v>3</v>
      </c>
      <c r="B7" s="46">
        <v>17</v>
      </c>
      <c r="C7" s="46">
        <v>100</v>
      </c>
      <c r="D7" s="46">
        <v>120</v>
      </c>
      <c r="E7" s="46">
        <v>0</v>
      </c>
      <c r="F7" s="46">
        <v>0</v>
      </c>
      <c r="G7" s="46">
        <v>0</v>
      </c>
      <c r="H7" s="46">
        <v>100.5</v>
      </c>
      <c r="I7" s="45"/>
      <c r="J7" s="45"/>
    </row>
    <row r="8" spans="1:15" x14ac:dyDescent="0.3">
      <c r="A8" s="46" t="s">
        <v>1456</v>
      </c>
      <c r="B8" s="45"/>
      <c r="C8" s="45"/>
      <c r="D8" s="45"/>
      <c r="E8" s="45"/>
      <c r="F8" s="45"/>
      <c r="G8" s="45"/>
      <c r="H8" s="45"/>
      <c r="I8" s="45"/>
      <c r="J8" s="45"/>
    </row>
    <row r="9" spans="1:15" x14ac:dyDescent="0.3">
      <c r="A9" s="46">
        <v>20</v>
      </c>
      <c r="B9" s="45"/>
      <c r="C9" s="45"/>
      <c r="D9" s="45"/>
      <c r="E9" s="45"/>
      <c r="F9" s="45"/>
      <c r="G9" s="45"/>
      <c r="H9" s="45"/>
      <c r="I9" s="45"/>
      <c r="J9" s="45"/>
    </row>
    <row r="10" spans="1:15" x14ac:dyDescent="0.3">
      <c r="A10" s="46" t="s">
        <v>1360</v>
      </c>
      <c r="B10" s="46" t="s">
        <v>1361</v>
      </c>
      <c r="C10" s="46" t="s">
        <v>1363</v>
      </c>
      <c r="D10" s="46" t="s">
        <v>1364</v>
      </c>
      <c r="E10" s="46" t="s">
        <v>1366</v>
      </c>
      <c r="F10" s="46" t="s">
        <v>1367</v>
      </c>
      <c r="G10" s="45"/>
      <c r="H10" s="45"/>
      <c r="I10" s="45"/>
      <c r="J10" s="45"/>
    </row>
    <row r="11" spans="1:15" x14ac:dyDescent="0.3">
      <c r="A11" s="46">
        <v>0.05</v>
      </c>
      <c r="B11" s="46">
        <v>0.5</v>
      </c>
      <c r="C11" s="46">
        <v>1</v>
      </c>
      <c r="D11" s="46">
        <v>20</v>
      </c>
      <c r="E11" s="46">
        <v>0.5</v>
      </c>
      <c r="F11" s="46">
        <v>10</v>
      </c>
      <c r="G11" s="45"/>
      <c r="H11" s="45"/>
      <c r="I11" s="45"/>
      <c r="J11" s="45"/>
    </row>
    <row r="12" spans="1:15" x14ac:dyDescent="0.3">
      <c r="A12" s="46" t="s">
        <v>1457</v>
      </c>
      <c r="B12" s="45"/>
      <c r="C12" s="45"/>
      <c r="D12" s="45"/>
      <c r="E12" s="45"/>
      <c r="F12" s="45"/>
      <c r="G12" s="45"/>
      <c r="H12" s="45"/>
      <c r="I12" s="45"/>
      <c r="J12" s="45"/>
    </row>
    <row r="13" spans="1:15" x14ac:dyDescent="0.3">
      <c r="A13" s="46">
        <v>2</v>
      </c>
      <c r="B13" s="45"/>
      <c r="C13" s="45"/>
      <c r="D13" s="45"/>
      <c r="E13" s="45"/>
      <c r="F13" s="45"/>
      <c r="G13" s="45"/>
      <c r="H13" s="45"/>
      <c r="I13" s="45"/>
      <c r="J13" s="45"/>
    </row>
    <row r="14" spans="1:15" x14ac:dyDescent="0.3">
      <c r="A14" s="46" t="s">
        <v>1458</v>
      </c>
      <c r="B14" s="45"/>
      <c r="C14" s="45"/>
      <c r="D14" s="45"/>
      <c r="E14" s="45"/>
      <c r="F14" s="45"/>
      <c r="G14" s="45"/>
      <c r="H14" s="45"/>
      <c r="I14" s="45"/>
      <c r="J14" s="45"/>
    </row>
    <row r="15" spans="1:15" x14ac:dyDescent="0.3">
      <c r="A15" s="46">
        <v>30</v>
      </c>
      <c r="B15" s="46">
        <v>60</v>
      </c>
      <c r="C15" s="45"/>
      <c r="D15" s="45"/>
      <c r="E15" s="45"/>
      <c r="F15" s="45"/>
      <c r="G15" s="45"/>
      <c r="H15" s="45"/>
      <c r="I15" s="45"/>
      <c r="J15" s="45"/>
    </row>
    <row r="16" spans="1:15" x14ac:dyDescent="0.3">
      <c r="A16" s="46" t="s">
        <v>1459</v>
      </c>
      <c r="B16" s="45"/>
      <c r="C16" s="45"/>
      <c r="D16" s="45"/>
      <c r="E16" s="45"/>
      <c r="F16" s="45"/>
      <c r="G16" s="45"/>
      <c r="H16" s="45"/>
      <c r="I16" s="45"/>
      <c r="J16" s="45"/>
    </row>
    <row r="17" spans="1:10" x14ac:dyDescent="0.3">
      <c r="A17" s="46">
        <v>10</v>
      </c>
      <c r="B17" s="46">
        <v>5</v>
      </c>
      <c r="C17" s="45"/>
      <c r="D17" s="45"/>
      <c r="E17" s="45"/>
      <c r="F17" s="45"/>
      <c r="G17" s="45"/>
      <c r="H17" s="45"/>
      <c r="I17" s="45"/>
      <c r="J17" s="45"/>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1"/>
  <sheetViews>
    <sheetView workbookViewId="0">
      <selection activeCell="A2" sqref="A2"/>
    </sheetView>
  </sheetViews>
  <sheetFormatPr defaultRowHeight="14.4" x14ac:dyDescent="0.3"/>
  <cols>
    <col min="1" max="1" width="6.6640625" customWidth="1"/>
    <col min="2" max="2" width="5.88671875" customWidth="1"/>
    <col min="3" max="3" width="76.6640625" customWidth="1"/>
    <col min="4" max="4" width="3.33203125" customWidth="1"/>
    <col min="8" max="8" width="2.5546875" customWidth="1"/>
  </cols>
  <sheetData>
    <row r="1" spans="1:9" x14ac:dyDescent="0.3">
      <c r="A1" s="48" t="s">
        <v>1462</v>
      </c>
      <c r="B1" s="48"/>
      <c r="C1" s="48"/>
      <c r="D1" s="48"/>
    </row>
    <row r="2" spans="1:9" x14ac:dyDescent="0.3">
      <c r="A2" s="6" t="s">
        <v>17</v>
      </c>
      <c r="B2" s="48"/>
      <c r="C2" s="48"/>
      <c r="D2" s="48"/>
      <c r="I2" t="s">
        <v>1673</v>
      </c>
    </row>
    <row r="3" spans="1:9" x14ac:dyDescent="0.3">
      <c r="A3" s="48" t="s">
        <v>1463</v>
      </c>
      <c r="B3" s="48"/>
      <c r="C3" s="48"/>
      <c r="D3" s="48"/>
      <c r="I3" s="66" t="s">
        <v>1672</v>
      </c>
    </row>
    <row r="4" spans="1:9" x14ac:dyDescent="0.3">
      <c r="A4" s="6">
        <v>2</v>
      </c>
      <c r="B4" s="48"/>
      <c r="C4" s="48"/>
      <c r="D4" s="48"/>
    </row>
    <row r="5" spans="1:9" x14ac:dyDescent="0.3">
      <c r="A5" s="48" t="s">
        <v>2613</v>
      </c>
      <c r="B5" s="48"/>
      <c r="C5" s="48"/>
      <c r="D5" s="48"/>
    </row>
    <row r="6" spans="1:9" x14ac:dyDescent="0.3">
      <c r="A6" s="6" t="s">
        <v>2614</v>
      </c>
      <c r="B6" s="6">
        <v>1</v>
      </c>
      <c r="C6" s="6" t="s">
        <v>2616</v>
      </c>
      <c r="D6" s="48"/>
    </row>
    <row r="7" spans="1:9" x14ac:dyDescent="0.3">
      <c r="A7" s="6" t="s">
        <v>2615</v>
      </c>
      <c r="B7" s="6">
        <v>1</v>
      </c>
      <c r="C7" s="6" t="s">
        <v>2617</v>
      </c>
      <c r="D7" s="48"/>
    </row>
    <row r="8" spans="1:9" x14ac:dyDescent="0.3">
      <c r="A8" s="48" t="s">
        <v>1465</v>
      </c>
      <c r="B8" s="48"/>
      <c r="C8" s="48"/>
      <c r="D8" s="48"/>
    </row>
    <row r="9" spans="1:9" x14ac:dyDescent="0.3">
      <c r="A9" s="6">
        <v>2</v>
      </c>
      <c r="B9" s="48"/>
      <c r="C9" s="48"/>
      <c r="D9" s="48"/>
    </row>
    <row r="10" spans="1:9" x14ac:dyDescent="0.3">
      <c r="A10" s="48" t="s">
        <v>1464</v>
      </c>
      <c r="B10" s="48"/>
      <c r="C10" s="48"/>
      <c r="D10" s="48"/>
    </row>
    <row r="11" spans="1:9" x14ac:dyDescent="0.3">
      <c r="A11" s="6">
        <v>60</v>
      </c>
      <c r="B11" s="48"/>
      <c r="C11" s="48"/>
      <c r="D11" s="48"/>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A3" sqref="A3"/>
    </sheetView>
  </sheetViews>
  <sheetFormatPr defaultRowHeight="14.4" x14ac:dyDescent="0.3"/>
  <cols>
    <col min="1" max="1" width="18" customWidth="1"/>
    <col min="2" max="2" width="15.6640625" customWidth="1"/>
  </cols>
  <sheetData>
    <row r="1" spans="1:11" x14ac:dyDescent="0.3">
      <c r="A1" s="40" t="s">
        <v>1524</v>
      </c>
      <c r="B1" s="40" t="s">
        <v>1525</v>
      </c>
      <c r="C1" s="40"/>
      <c r="D1" s="40"/>
      <c r="E1" s="40"/>
      <c r="F1" s="40"/>
      <c r="G1" s="40"/>
      <c r="K1" t="s">
        <v>1673</v>
      </c>
    </row>
    <row r="2" spans="1:11" x14ac:dyDescent="0.3">
      <c r="A2" s="40">
        <v>1</v>
      </c>
      <c r="B2" s="40"/>
      <c r="C2" s="40"/>
      <c r="D2" s="40"/>
      <c r="E2" s="40"/>
      <c r="F2" s="40"/>
      <c r="G2" s="40"/>
      <c r="K2" s="66" t="s">
        <v>1672</v>
      </c>
    </row>
    <row r="3" spans="1:11" x14ac:dyDescent="0.3">
      <c r="A3" s="40" t="s">
        <v>1526</v>
      </c>
      <c r="B3" s="40"/>
      <c r="C3" s="40"/>
      <c r="D3" s="40"/>
      <c r="E3" s="40"/>
      <c r="F3" s="40"/>
      <c r="G3" s="40"/>
    </row>
    <row r="4" spans="1:11" x14ac:dyDescent="0.3">
      <c r="A4" s="40">
        <v>1</v>
      </c>
      <c r="B4" s="40"/>
      <c r="C4" s="40"/>
      <c r="D4" s="40"/>
      <c r="E4" s="40"/>
      <c r="F4" s="40"/>
      <c r="G4" s="40"/>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6640625" customWidth="1"/>
    <col min="3" max="3" width="7.6640625" customWidth="1"/>
    <col min="4" max="4" width="7" customWidth="1"/>
    <col min="5" max="5" width="5.6640625" customWidth="1"/>
    <col min="6" max="6" width="7.109375" customWidth="1"/>
    <col min="7" max="7" width="6.44140625" customWidth="1"/>
    <col min="8" max="8" width="5.6640625" customWidth="1"/>
    <col min="10" max="10" width="4.6640625" customWidth="1"/>
    <col min="12" max="12" width="8.88671875" customWidth="1"/>
  </cols>
  <sheetData>
    <row r="1" spans="1:19" x14ac:dyDescent="0.3">
      <c r="A1" s="51" t="s">
        <v>1498</v>
      </c>
      <c r="B1" s="51"/>
      <c r="C1" s="51"/>
      <c r="D1" s="51"/>
      <c r="E1" s="51"/>
      <c r="F1" s="51"/>
      <c r="G1" s="51"/>
      <c r="H1" s="51"/>
      <c r="I1" s="51"/>
      <c r="J1" s="51"/>
      <c r="K1" t="s">
        <v>1516</v>
      </c>
    </row>
    <row r="2" spans="1:19" x14ac:dyDescent="0.3">
      <c r="A2" s="51"/>
      <c r="B2" s="51"/>
      <c r="C2" s="51"/>
      <c r="D2" s="51"/>
      <c r="E2" s="51"/>
      <c r="F2" s="51"/>
      <c r="G2" s="51"/>
      <c r="H2" s="51"/>
      <c r="I2" s="51"/>
      <c r="J2" s="51"/>
    </row>
    <row r="3" spans="1:19" x14ac:dyDescent="0.3">
      <c r="A3" s="51" t="s">
        <v>1466</v>
      </c>
      <c r="B3" s="51"/>
      <c r="C3" s="51"/>
      <c r="D3" s="51"/>
      <c r="E3" s="51"/>
      <c r="F3" s="51"/>
      <c r="G3" s="51"/>
      <c r="H3" s="51"/>
      <c r="I3" s="51"/>
      <c r="J3" s="51"/>
    </row>
    <row r="4" spans="1:19" x14ac:dyDescent="0.3">
      <c r="A4" s="51"/>
      <c r="B4" s="6" t="s">
        <v>1500</v>
      </c>
      <c r="C4" s="51"/>
      <c r="D4" s="51"/>
      <c r="E4" s="51"/>
      <c r="F4" s="51"/>
      <c r="G4" s="51"/>
      <c r="H4" s="51"/>
      <c r="I4" s="51"/>
      <c r="J4" s="51"/>
    </row>
    <row r="5" spans="1:19" x14ac:dyDescent="0.3">
      <c r="A5" s="51"/>
      <c r="B5" s="6" t="s">
        <v>1501</v>
      </c>
      <c r="C5" s="51"/>
      <c r="D5" s="51"/>
      <c r="E5" s="51"/>
      <c r="F5" s="51"/>
      <c r="G5" s="51"/>
      <c r="H5" s="51"/>
      <c r="I5" s="51"/>
      <c r="J5" s="51"/>
    </row>
    <row r="6" spans="1:19" x14ac:dyDescent="0.3">
      <c r="A6" s="51"/>
      <c r="B6" s="6" t="s">
        <v>1502</v>
      </c>
      <c r="C6" s="51"/>
      <c r="D6" s="51"/>
      <c r="E6" s="51"/>
      <c r="F6" s="51"/>
      <c r="G6" s="51"/>
      <c r="H6" s="51"/>
      <c r="I6" s="51"/>
      <c r="J6" s="51"/>
    </row>
    <row r="7" spans="1:19" x14ac:dyDescent="0.3">
      <c r="A7" s="51"/>
      <c r="B7" s="6" t="s">
        <v>1503</v>
      </c>
      <c r="C7" s="51"/>
      <c r="D7" s="51"/>
      <c r="E7" s="51"/>
      <c r="F7" s="51"/>
      <c r="G7" s="51"/>
      <c r="H7" s="51"/>
      <c r="I7" s="51"/>
      <c r="J7" s="51"/>
    </row>
    <row r="8" spans="1:19" x14ac:dyDescent="0.3">
      <c r="A8" s="51"/>
      <c r="B8" s="6" t="s">
        <v>1504</v>
      </c>
      <c r="C8" s="51"/>
      <c r="D8" s="51"/>
      <c r="E8" s="51"/>
      <c r="F8" s="51"/>
      <c r="G8" s="51"/>
      <c r="H8" s="51"/>
      <c r="I8" s="51"/>
      <c r="J8" s="51"/>
      <c r="S8" s="50"/>
    </row>
    <row r="9" spans="1:19" x14ac:dyDescent="0.3">
      <c r="A9" s="51"/>
      <c r="B9" s="6" t="s">
        <v>1505</v>
      </c>
      <c r="C9" s="51"/>
      <c r="D9" s="51"/>
      <c r="E9" s="51"/>
      <c r="F9" s="51"/>
      <c r="G9" s="51"/>
      <c r="H9" s="51"/>
      <c r="I9" s="51"/>
      <c r="J9" s="51"/>
      <c r="K9" t="s">
        <v>1510</v>
      </c>
    </row>
    <row r="10" spans="1:19" x14ac:dyDescent="0.3">
      <c r="A10" s="51"/>
      <c r="B10" s="6" t="s">
        <v>1506</v>
      </c>
      <c r="C10" s="51"/>
      <c r="D10" s="51"/>
      <c r="E10" s="51"/>
      <c r="F10" s="51"/>
      <c r="G10" s="51"/>
      <c r="H10" s="51"/>
      <c r="I10" s="51"/>
      <c r="J10" s="51"/>
      <c r="K10" t="s">
        <v>1511</v>
      </c>
    </row>
    <row r="11" spans="1:19" x14ac:dyDescent="0.3">
      <c r="A11" s="51"/>
      <c r="B11" s="6" t="s">
        <v>1507</v>
      </c>
      <c r="C11" s="51"/>
      <c r="D11" s="51"/>
      <c r="E11" s="51"/>
      <c r="F11" s="51"/>
      <c r="G11" s="51"/>
      <c r="H11" s="51"/>
      <c r="I11" s="51"/>
      <c r="J11" s="51"/>
    </row>
    <row r="12" spans="1:19" x14ac:dyDescent="0.3">
      <c r="A12" s="51"/>
      <c r="B12" s="6" t="s">
        <v>1508</v>
      </c>
      <c r="C12" s="51"/>
      <c r="D12" s="51"/>
      <c r="E12" s="51"/>
      <c r="F12" s="51"/>
      <c r="G12" s="51"/>
      <c r="H12" s="51"/>
      <c r="I12" s="51"/>
      <c r="J12" s="51"/>
    </row>
    <row r="13" spans="1:19" x14ac:dyDescent="0.3">
      <c r="A13" s="51"/>
      <c r="B13" s="6" t="s">
        <v>1509</v>
      </c>
      <c r="C13" s="51"/>
      <c r="D13" s="51"/>
      <c r="E13" s="51"/>
      <c r="F13" s="51"/>
      <c r="G13" s="51"/>
      <c r="H13" s="51"/>
      <c r="I13" s="51"/>
      <c r="J13" s="51"/>
      <c r="L13" t="s">
        <v>1673</v>
      </c>
    </row>
    <row r="14" spans="1:19" x14ac:dyDescent="0.3">
      <c r="A14" s="51"/>
      <c r="B14" s="51"/>
      <c r="C14" s="51"/>
      <c r="D14" s="51"/>
      <c r="E14" s="51"/>
      <c r="F14" s="51"/>
      <c r="G14" s="51"/>
      <c r="H14" s="51"/>
      <c r="I14" s="51"/>
      <c r="J14" s="51"/>
      <c r="L14" s="66" t="s">
        <v>1672</v>
      </c>
    </row>
    <row r="15" spans="1:19" x14ac:dyDescent="0.3">
      <c r="A15" s="51" t="s">
        <v>1469</v>
      </c>
      <c r="B15" s="51" t="s">
        <v>1470</v>
      </c>
      <c r="C15" s="51" t="s">
        <v>1471</v>
      </c>
      <c r="D15" s="51" t="s">
        <v>1472</v>
      </c>
      <c r="E15" s="51" t="s">
        <v>1473</v>
      </c>
      <c r="F15" s="51"/>
      <c r="G15" s="51"/>
      <c r="H15" s="51"/>
      <c r="I15" s="51"/>
      <c r="J15" s="51"/>
    </row>
    <row r="16" spans="1:19" x14ac:dyDescent="0.3">
      <c r="A16" s="51"/>
      <c r="B16" s="6" t="s">
        <v>17</v>
      </c>
      <c r="C16" s="6" t="s">
        <v>17</v>
      </c>
      <c r="D16" s="6" t="s">
        <v>17</v>
      </c>
      <c r="E16" s="6" t="s">
        <v>17</v>
      </c>
      <c r="F16" s="51"/>
      <c r="G16" s="51"/>
      <c r="H16" s="51"/>
      <c r="I16" s="51"/>
      <c r="J16" s="51"/>
    </row>
    <row r="17" spans="1:11" x14ac:dyDescent="0.3">
      <c r="A17" s="51"/>
      <c r="B17" s="51"/>
      <c r="C17" s="51"/>
      <c r="D17" s="51"/>
      <c r="E17" s="51"/>
      <c r="F17" s="51"/>
      <c r="G17" s="51"/>
      <c r="H17" s="51"/>
      <c r="I17" s="51"/>
      <c r="J17" s="51"/>
    </row>
    <row r="18" spans="1:11" x14ac:dyDescent="0.3">
      <c r="A18" s="51" t="s">
        <v>1513</v>
      </c>
      <c r="B18" s="51" t="s">
        <v>1475</v>
      </c>
      <c r="C18" s="51" t="s">
        <v>1476</v>
      </c>
      <c r="D18" s="52"/>
      <c r="E18" s="51"/>
      <c r="F18" s="51"/>
      <c r="G18" s="51"/>
      <c r="H18" s="51"/>
      <c r="I18" s="51"/>
      <c r="J18" s="51"/>
    </row>
    <row r="19" spans="1:11" x14ac:dyDescent="0.3">
      <c r="A19" s="51" t="s">
        <v>1477</v>
      </c>
      <c r="B19" s="6" t="s">
        <v>1514</v>
      </c>
      <c r="C19" s="6">
        <v>1</v>
      </c>
      <c r="D19" s="51"/>
      <c r="E19" s="51"/>
      <c r="F19" s="51"/>
      <c r="G19" s="51"/>
      <c r="H19" s="51"/>
      <c r="I19" s="51"/>
      <c r="J19" s="51"/>
    </row>
    <row r="20" spans="1:11" x14ac:dyDescent="0.3">
      <c r="A20" s="51"/>
      <c r="B20" s="51"/>
      <c r="C20" s="51"/>
      <c r="D20" s="51"/>
      <c r="E20" s="51"/>
      <c r="F20" s="51"/>
      <c r="G20" s="51"/>
      <c r="H20" s="51"/>
      <c r="I20" s="51"/>
      <c r="J20" s="51"/>
    </row>
    <row r="21" spans="1:11" x14ac:dyDescent="0.3">
      <c r="A21" s="51" t="s">
        <v>1474</v>
      </c>
      <c r="B21" s="51" t="s">
        <v>1479</v>
      </c>
      <c r="C21" s="51" t="s">
        <v>1480</v>
      </c>
      <c r="D21" s="51" t="s">
        <v>1481</v>
      </c>
      <c r="E21" s="51" t="s">
        <v>1482</v>
      </c>
      <c r="F21" s="51" t="s">
        <v>1483</v>
      </c>
      <c r="G21" s="51" t="s">
        <v>1484</v>
      </c>
      <c r="H21" s="51" t="s">
        <v>1485</v>
      </c>
      <c r="I21" s="51" t="s">
        <v>1486</v>
      </c>
      <c r="J21" s="51"/>
    </row>
    <row r="22" spans="1:11" x14ac:dyDescent="0.3">
      <c r="A22" s="51" t="s">
        <v>1487</v>
      </c>
      <c r="B22" s="6">
        <v>-1</v>
      </c>
      <c r="C22" s="6">
        <v>231.3</v>
      </c>
      <c r="D22" s="6">
        <v>0</v>
      </c>
      <c r="E22" s="6">
        <v>269.13</v>
      </c>
      <c r="F22" s="6" t="s">
        <v>2</v>
      </c>
      <c r="G22" s="6" t="s">
        <v>1478</v>
      </c>
      <c r="H22" s="6">
        <v>0</v>
      </c>
      <c r="I22" s="6">
        <v>110</v>
      </c>
      <c r="J22" s="51"/>
    </row>
    <row r="23" spans="1:11" x14ac:dyDescent="0.3">
      <c r="A23" s="51"/>
      <c r="B23" s="51"/>
      <c r="C23" s="51"/>
      <c r="D23" s="51"/>
      <c r="E23" s="51"/>
      <c r="F23" s="51"/>
      <c r="G23" s="51"/>
      <c r="H23" s="51"/>
      <c r="I23" s="51"/>
      <c r="J23" s="51"/>
    </row>
    <row r="24" spans="1:11" x14ac:dyDescent="0.3">
      <c r="A24" s="51" t="s">
        <v>1497</v>
      </c>
      <c r="B24" s="51" t="s">
        <v>1488</v>
      </c>
      <c r="C24" s="51" t="s">
        <v>1489</v>
      </c>
      <c r="D24" s="51" t="s">
        <v>1490</v>
      </c>
      <c r="E24" s="51" t="s">
        <v>1491</v>
      </c>
      <c r="F24" s="51" t="s">
        <v>1492</v>
      </c>
      <c r="G24" s="51" t="s">
        <v>1489</v>
      </c>
      <c r="H24" s="51" t="s">
        <v>1490</v>
      </c>
      <c r="I24" s="51" t="s">
        <v>1491</v>
      </c>
      <c r="J24" s="51" t="s">
        <v>1492</v>
      </c>
    </row>
    <row r="25" spans="1:11" x14ac:dyDescent="0.3">
      <c r="A25" s="53" t="s">
        <v>1487</v>
      </c>
      <c r="B25" s="6">
        <v>3</v>
      </c>
      <c r="C25" s="6">
        <v>1</v>
      </c>
      <c r="D25" s="6">
        <v>1</v>
      </c>
      <c r="E25" s="6">
        <v>0.67100000000000004</v>
      </c>
      <c r="F25" s="6">
        <v>23.5</v>
      </c>
      <c r="G25" s="6">
        <v>400</v>
      </c>
      <c r="H25" s="6">
        <v>0</v>
      </c>
      <c r="I25" s="6">
        <v>-0.02</v>
      </c>
      <c r="J25" s="6">
        <v>0</v>
      </c>
    </row>
    <row r="26" spans="1:11" x14ac:dyDescent="0.3">
      <c r="A26" s="53" t="s">
        <v>1514</v>
      </c>
      <c r="B26" s="6">
        <v>1</v>
      </c>
      <c r="C26" s="6">
        <v>95.790999999999997</v>
      </c>
      <c r="D26" s="6">
        <v>1.07193</v>
      </c>
      <c r="E26" s="6">
        <v>178.852</v>
      </c>
      <c r="F26" s="6">
        <v>-0.51</v>
      </c>
      <c r="G26" s="52"/>
      <c r="H26" s="52"/>
      <c r="I26" s="52"/>
      <c r="J26" s="52"/>
      <c r="K26" s="3" t="s">
        <v>1515</v>
      </c>
    </row>
    <row r="27" spans="1:11" x14ac:dyDescent="0.3">
      <c r="A27" s="51"/>
      <c r="B27" s="51"/>
      <c r="C27" s="51"/>
      <c r="D27" s="51"/>
      <c r="E27" s="51"/>
      <c r="F27" s="51"/>
      <c r="G27" s="51"/>
      <c r="H27" s="51"/>
      <c r="I27" s="51"/>
      <c r="J27" s="51"/>
    </row>
    <row r="28" spans="1:11" x14ac:dyDescent="0.3">
      <c r="A28" s="51" t="s">
        <v>1496</v>
      </c>
      <c r="B28" s="51" t="s">
        <v>1493</v>
      </c>
      <c r="C28" s="51" t="s">
        <v>1494</v>
      </c>
      <c r="D28" s="51" t="s">
        <v>1495</v>
      </c>
      <c r="E28" s="51" t="s">
        <v>1494</v>
      </c>
      <c r="F28" s="51" t="s">
        <v>1495</v>
      </c>
      <c r="G28" s="51"/>
      <c r="H28" s="51"/>
      <c r="I28" s="51"/>
      <c r="J28" s="51"/>
    </row>
    <row r="29" spans="1:11" x14ac:dyDescent="0.3">
      <c r="A29" s="51" t="s">
        <v>1487</v>
      </c>
      <c r="B29" s="6">
        <v>1</v>
      </c>
      <c r="C29" s="6">
        <v>2.1399999999999999E-2</v>
      </c>
      <c r="D29" s="6">
        <v>0.01</v>
      </c>
      <c r="E29" s="6"/>
      <c r="F29" s="6"/>
      <c r="G29" s="51"/>
      <c r="H29" s="51"/>
      <c r="I29" s="51"/>
      <c r="J29" s="51"/>
    </row>
    <row r="30" spans="1:11" x14ac:dyDescent="0.3">
      <c r="A30" s="51"/>
      <c r="B30" s="51"/>
      <c r="C30" s="51"/>
      <c r="D30" s="51"/>
      <c r="E30" s="51"/>
      <c r="F30" s="51"/>
      <c r="G30" s="51"/>
      <c r="H30" s="51"/>
      <c r="I30" s="51"/>
      <c r="J30" s="51"/>
    </row>
    <row r="31" spans="1:11" x14ac:dyDescent="0.3">
      <c r="A31" s="51" t="s">
        <v>1467</v>
      </c>
      <c r="B31" s="51"/>
      <c r="C31" s="51"/>
      <c r="D31" s="51"/>
      <c r="E31" s="51"/>
      <c r="F31" s="51"/>
      <c r="G31" s="51"/>
      <c r="H31" s="51"/>
      <c r="I31" s="51"/>
      <c r="J31" s="51"/>
    </row>
    <row r="32" spans="1:11" x14ac:dyDescent="0.3">
      <c r="A32" s="51" t="s">
        <v>1487</v>
      </c>
      <c r="B32" s="6" t="s">
        <v>1499</v>
      </c>
      <c r="C32" s="51"/>
      <c r="D32" s="51"/>
      <c r="E32" s="51"/>
      <c r="F32" s="51"/>
      <c r="G32" s="51"/>
      <c r="H32" s="51"/>
      <c r="I32" s="51"/>
      <c r="J32" s="51"/>
      <c r="K32" t="s">
        <v>1512</v>
      </c>
    </row>
    <row r="33" spans="1:10" x14ac:dyDescent="0.3">
      <c r="A33" s="51"/>
      <c r="B33" s="51"/>
      <c r="C33" s="51"/>
      <c r="D33" s="51"/>
      <c r="E33" s="51"/>
      <c r="F33" s="51"/>
      <c r="G33" s="51"/>
      <c r="H33" s="51"/>
      <c r="I33" s="51"/>
      <c r="J33" s="51"/>
    </row>
    <row r="35" spans="1:10" x14ac:dyDescent="0.3">
      <c r="A35" t="s">
        <v>1468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4" t="s">
        <v>2276</v>
      </c>
      <c r="B1" s="34"/>
      <c r="C1" s="34"/>
      <c r="D1" s="34"/>
      <c r="E1" s="34"/>
      <c r="F1" s="34"/>
      <c r="G1" s="34"/>
      <c r="H1" s="34"/>
      <c r="I1" s="34"/>
      <c r="J1" s="34"/>
      <c r="K1" s="34"/>
      <c r="L1" s="34"/>
      <c r="M1" s="34"/>
      <c r="N1" s="34"/>
      <c r="O1" s="34"/>
      <c r="P1" s="34"/>
      <c r="Q1" s="34"/>
      <c r="R1" s="34"/>
      <c r="S1" s="34"/>
      <c r="T1" s="34"/>
    </row>
    <row r="2" spans="1:20" x14ac:dyDescent="0.3">
      <c r="A2" s="34" t="s">
        <v>2277</v>
      </c>
      <c r="B2" s="34"/>
      <c r="C2" s="34"/>
      <c r="D2" s="34"/>
      <c r="E2" s="34"/>
      <c r="F2" s="34"/>
      <c r="G2" s="34"/>
      <c r="H2" s="34"/>
      <c r="I2" s="34"/>
      <c r="J2" s="34"/>
      <c r="K2" s="34"/>
      <c r="L2" s="34"/>
      <c r="M2" s="34"/>
      <c r="N2" s="34"/>
      <c r="O2" s="34"/>
      <c r="P2" s="34"/>
      <c r="Q2" s="34"/>
      <c r="R2" s="34"/>
      <c r="S2" s="34"/>
      <c r="T2" s="34"/>
    </row>
    <row r="3" spans="1:20" x14ac:dyDescent="0.3">
      <c r="A3" s="34" t="s">
        <v>0</v>
      </c>
      <c r="B3" s="34" t="s">
        <v>2278</v>
      </c>
      <c r="C3" s="34"/>
      <c r="D3" s="34"/>
      <c r="E3" s="34"/>
      <c r="F3" s="34"/>
      <c r="G3" s="34"/>
      <c r="H3" s="34"/>
      <c r="I3" s="34"/>
      <c r="J3" s="34"/>
      <c r="K3" s="34"/>
      <c r="L3" s="34"/>
      <c r="M3" s="34"/>
      <c r="N3" s="34"/>
      <c r="O3" s="34"/>
      <c r="P3" s="34"/>
      <c r="Q3" s="34"/>
      <c r="R3" s="34"/>
      <c r="S3" s="34"/>
      <c r="T3" s="34"/>
    </row>
    <row r="4" spans="1:20" x14ac:dyDescent="0.3">
      <c r="A4" s="34">
        <v>1</v>
      </c>
      <c r="B4" s="6" t="s">
        <v>2279</v>
      </c>
      <c r="C4" s="34"/>
      <c r="D4" s="34"/>
      <c r="E4" s="34"/>
      <c r="F4" s="34"/>
      <c r="G4" s="34"/>
      <c r="H4" s="34"/>
      <c r="I4" s="34"/>
      <c r="J4" s="34"/>
      <c r="K4" s="34"/>
      <c r="L4" s="34"/>
      <c r="M4" s="34"/>
      <c r="N4" s="34"/>
      <c r="O4" s="34"/>
      <c r="P4" s="34"/>
      <c r="Q4" s="34"/>
      <c r="R4" s="34"/>
      <c r="S4" s="34"/>
      <c r="T4" s="34"/>
    </row>
    <row r="5" spans="1:20" x14ac:dyDescent="0.3">
      <c r="A5" s="34">
        <v>2</v>
      </c>
      <c r="B5" s="6" t="s">
        <v>2280</v>
      </c>
      <c r="C5" s="34"/>
      <c r="D5" s="34"/>
      <c r="E5" s="34"/>
      <c r="F5" s="34"/>
      <c r="G5" s="34"/>
      <c r="H5" s="34"/>
      <c r="I5" s="34"/>
      <c r="J5" s="34"/>
      <c r="K5" s="34"/>
      <c r="L5" s="34"/>
      <c r="M5" s="34"/>
      <c r="N5" s="34"/>
      <c r="O5" s="34"/>
      <c r="P5" s="34"/>
      <c r="Q5" s="34"/>
      <c r="R5" s="34"/>
      <c r="S5" s="34"/>
      <c r="T5" s="34"/>
    </row>
    <row r="6" spans="1:20" x14ac:dyDescent="0.3">
      <c r="A6" s="34">
        <v>3</v>
      </c>
      <c r="B6" s="6" t="s">
        <v>2281</v>
      </c>
      <c r="C6" s="34"/>
      <c r="D6" s="34"/>
      <c r="E6" s="34"/>
      <c r="F6" s="34"/>
      <c r="G6" s="34"/>
      <c r="H6" s="34"/>
      <c r="I6" s="34"/>
      <c r="J6" s="34"/>
      <c r="K6" s="34"/>
      <c r="L6" s="34"/>
      <c r="M6" s="34"/>
      <c r="N6" s="34"/>
      <c r="O6" s="34"/>
      <c r="P6" s="34"/>
      <c r="Q6" s="34"/>
      <c r="R6" s="34"/>
      <c r="S6" s="34"/>
      <c r="T6" s="34"/>
    </row>
    <row r="7" spans="1:20" x14ac:dyDescent="0.3">
      <c r="A7" s="34">
        <v>4</v>
      </c>
      <c r="B7" s="6" t="s">
        <v>2282</v>
      </c>
      <c r="C7" s="34"/>
      <c r="D7" s="34"/>
      <c r="E7" s="34"/>
      <c r="F7" s="34"/>
      <c r="G7" s="34"/>
      <c r="H7" s="34"/>
      <c r="I7" s="34"/>
      <c r="J7" s="34"/>
      <c r="K7" s="34"/>
      <c r="L7" s="34"/>
      <c r="M7" s="34"/>
      <c r="N7" s="34"/>
      <c r="O7" s="34"/>
      <c r="P7" s="34"/>
      <c r="Q7" s="34"/>
      <c r="R7" s="34"/>
      <c r="S7" s="34"/>
      <c r="T7" s="34"/>
    </row>
    <row r="8" spans="1:20" x14ac:dyDescent="0.3">
      <c r="A8" s="34">
        <v>5</v>
      </c>
      <c r="B8" s="6" t="s">
        <v>2283</v>
      </c>
      <c r="C8" s="34"/>
      <c r="D8" s="34"/>
      <c r="E8" s="34"/>
      <c r="F8" s="34"/>
      <c r="G8" s="34"/>
      <c r="H8" s="34"/>
      <c r="I8" s="34"/>
      <c r="J8" s="34"/>
      <c r="K8" s="34"/>
      <c r="L8" s="34"/>
      <c r="M8" s="34"/>
      <c r="N8" s="34"/>
      <c r="O8" s="34"/>
      <c r="P8" s="34"/>
      <c r="Q8" s="34"/>
      <c r="R8" s="34"/>
      <c r="S8" s="34"/>
      <c r="T8" s="34"/>
    </row>
    <row r="9" spans="1:20" x14ac:dyDescent="0.3">
      <c r="A9" s="34">
        <v>6</v>
      </c>
      <c r="B9" s="6" t="s">
        <v>2284</v>
      </c>
      <c r="C9" s="34"/>
      <c r="D9" s="34"/>
      <c r="E9" s="34"/>
      <c r="F9" s="34"/>
      <c r="G9" s="34"/>
      <c r="H9" s="34"/>
      <c r="I9" s="34"/>
      <c r="J9" s="34"/>
      <c r="K9" s="34"/>
      <c r="L9" s="34"/>
      <c r="M9" s="34"/>
      <c r="N9" s="34"/>
      <c r="O9" s="34"/>
      <c r="P9" s="34"/>
      <c r="Q9" s="34"/>
      <c r="R9" s="34"/>
      <c r="S9" s="34"/>
      <c r="T9" s="34"/>
    </row>
    <row r="10" spans="1:20" x14ac:dyDescent="0.3">
      <c r="A10" s="34">
        <v>7</v>
      </c>
      <c r="B10" s="6" t="s">
        <v>2285</v>
      </c>
      <c r="C10" s="34"/>
      <c r="D10" s="34"/>
      <c r="E10" s="34"/>
      <c r="F10" s="34"/>
      <c r="G10" s="34"/>
      <c r="H10" s="34"/>
      <c r="I10" s="34"/>
      <c r="J10" s="34"/>
      <c r="K10" s="34"/>
      <c r="L10" s="34"/>
      <c r="M10" s="34"/>
      <c r="N10" s="34"/>
      <c r="O10" s="34"/>
      <c r="P10" s="34"/>
      <c r="Q10" s="34"/>
      <c r="R10" s="34"/>
      <c r="S10" s="34"/>
      <c r="T10" s="34"/>
    </row>
    <row r="11" spans="1:20" x14ac:dyDescent="0.3">
      <c r="A11" s="34">
        <v>8</v>
      </c>
      <c r="B11" s="6" t="s">
        <v>2286</v>
      </c>
      <c r="C11" s="34"/>
      <c r="D11" s="34"/>
      <c r="E11" s="34"/>
      <c r="F11" s="34"/>
      <c r="G11" s="34"/>
      <c r="H11" s="34"/>
      <c r="I11" s="34"/>
      <c r="J11" s="34"/>
      <c r="K11" s="34"/>
      <c r="L11" s="34"/>
      <c r="M11" s="34"/>
      <c r="N11" s="34"/>
      <c r="O11" s="34"/>
      <c r="P11" s="34"/>
      <c r="Q11" s="34"/>
      <c r="R11" s="34"/>
      <c r="S11" s="34"/>
      <c r="T11" s="34"/>
    </row>
    <row r="12" spans="1:20" x14ac:dyDescent="0.3">
      <c r="A12" s="34">
        <v>9</v>
      </c>
      <c r="B12" s="6" t="s">
        <v>2287</v>
      </c>
      <c r="C12" s="34"/>
      <c r="D12" s="34"/>
      <c r="E12" s="34"/>
      <c r="F12" s="34"/>
      <c r="G12" s="34"/>
      <c r="H12" s="34"/>
      <c r="I12" s="34"/>
      <c r="J12" s="34"/>
      <c r="K12" s="34"/>
      <c r="L12" s="34"/>
      <c r="M12" s="34"/>
      <c r="N12" s="34"/>
      <c r="O12" s="34"/>
      <c r="P12" s="34"/>
      <c r="Q12" s="34"/>
      <c r="R12" s="34"/>
      <c r="S12" s="34"/>
      <c r="T12" s="34"/>
    </row>
    <row r="13" spans="1:20" x14ac:dyDescent="0.3">
      <c r="A13" s="34">
        <v>10</v>
      </c>
      <c r="B13" s="101">
        <v>44388</v>
      </c>
      <c r="C13" s="34"/>
      <c r="D13" s="34"/>
      <c r="E13" s="34"/>
      <c r="F13" s="34"/>
      <c r="G13" s="34"/>
      <c r="H13" s="34"/>
      <c r="I13" s="34"/>
      <c r="J13" s="34"/>
      <c r="K13" s="34"/>
      <c r="L13" s="34"/>
      <c r="M13" s="34"/>
      <c r="N13" s="34"/>
      <c r="O13" s="34"/>
      <c r="P13" s="34"/>
      <c r="Q13" s="34"/>
      <c r="R13" s="34"/>
      <c r="S13" s="34"/>
      <c r="T13" s="34"/>
    </row>
    <row r="14" spans="1:20" x14ac:dyDescent="0.3">
      <c r="A14" s="34"/>
      <c r="B14" s="34"/>
      <c r="C14" s="34"/>
      <c r="D14" s="34"/>
      <c r="E14" s="34"/>
      <c r="F14" s="34"/>
      <c r="G14" s="34"/>
      <c r="H14" s="34"/>
      <c r="I14" s="34"/>
      <c r="J14" s="34"/>
      <c r="K14" s="34"/>
      <c r="L14" s="34"/>
      <c r="M14" s="34"/>
      <c r="N14" s="34"/>
      <c r="O14" s="34"/>
      <c r="P14" s="34"/>
      <c r="Q14" s="34"/>
      <c r="R14" s="34"/>
      <c r="S14" s="34"/>
      <c r="T14" s="34"/>
    </row>
    <row r="15" spans="1:20" x14ac:dyDescent="0.3">
      <c r="A15" s="34" t="s">
        <v>2288</v>
      </c>
      <c r="B15" s="34" t="s">
        <v>2289</v>
      </c>
      <c r="C15" s="34" t="s">
        <v>2290</v>
      </c>
      <c r="D15" s="34"/>
      <c r="E15" s="34"/>
      <c r="F15" s="34"/>
      <c r="G15" s="34"/>
      <c r="H15" s="34"/>
      <c r="I15" s="34"/>
      <c r="J15" s="34"/>
      <c r="K15" s="34"/>
      <c r="L15" s="34"/>
      <c r="M15" s="34"/>
      <c r="N15" s="34"/>
      <c r="O15" s="34"/>
      <c r="P15" s="34"/>
      <c r="Q15" s="34"/>
      <c r="R15" s="34"/>
      <c r="S15" s="34"/>
      <c r="T15" s="34"/>
    </row>
    <row r="16" spans="1:20" x14ac:dyDescent="0.3">
      <c r="A16" s="43">
        <v>1</v>
      </c>
      <c r="B16" s="6">
        <v>1</v>
      </c>
      <c r="C16" s="6">
        <v>0.1</v>
      </c>
      <c r="D16" s="34"/>
      <c r="E16" s="34"/>
      <c r="F16" s="34"/>
      <c r="G16" s="34"/>
      <c r="H16" s="34"/>
      <c r="I16" s="34"/>
      <c r="J16" s="34"/>
      <c r="K16" s="34"/>
      <c r="L16" s="34"/>
      <c r="M16" s="34"/>
      <c r="N16" s="34"/>
      <c r="O16" s="34"/>
      <c r="P16" s="34"/>
      <c r="Q16" s="34"/>
      <c r="R16" s="34"/>
      <c r="S16" s="34"/>
      <c r="T16" s="34"/>
    </row>
    <row r="17" spans="1:20" x14ac:dyDescent="0.3">
      <c r="A17" s="34"/>
      <c r="B17" s="34"/>
      <c r="C17" s="34"/>
      <c r="D17" s="34"/>
      <c r="E17" s="34"/>
      <c r="F17" s="34"/>
      <c r="G17" s="34"/>
      <c r="H17" s="34"/>
      <c r="I17" s="34"/>
      <c r="J17" s="34"/>
      <c r="K17" s="34"/>
      <c r="L17" s="34"/>
      <c r="M17" s="34"/>
      <c r="N17" s="34"/>
      <c r="O17" s="34"/>
      <c r="P17" s="34"/>
      <c r="Q17" s="34"/>
      <c r="R17" s="34"/>
      <c r="S17" s="34"/>
      <c r="T17" s="34"/>
    </row>
    <row r="18" spans="1:20" x14ac:dyDescent="0.3">
      <c r="A18" s="34" t="s">
        <v>2288</v>
      </c>
      <c r="B18" s="34" t="s">
        <v>1391</v>
      </c>
      <c r="C18" s="34" t="s">
        <v>1392</v>
      </c>
      <c r="D18" s="34" t="s">
        <v>1393</v>
      </c>
      <c r="E18" s="34" t="s">
        <v>1413</v>
      </c>
      <c r="F18" s="34" t="s">
        <v>2291</v>
      </c>
      <c r="G18" s="34" t="s">
        <v>2292</v>
      </c>
      <c r="H18" s="34" t="s">
        <v>2293</v>
      </c>
      <c r="I18" s="34" t="s">
        <v>2294</v>
      </c>
      <c r="J18" s="34"/>
      <c r="K18" s="34"/>
      <c r="L18" s="34"/>
      <c r="M18" s="34"/>
      <c r="N18" s="34"/>
      <c r="O18" s="34"/>
      <c r="P18" s="34"/>
      <c r="Q18" s="34"/>
      <c r="R18" s="34"/>
      <c r="S18" s="34"/>
      <c r="T18" s="34"/>
    </row>
    <row r="19" spans="1:20" x14ac:dyDescent="0.3">
      <c r="A19" s="43">
        <v>1</v>
      </c>
      <c r="B19" s="6" t="s">
        <v>17</v>
      </c>
      <c r="C19" s="6">
        <v>40544</v>
      </c>
      <c r="D19" s="6">
        <v>42369</v>
      </c>
      <c r="E19" s="6">
        <v>115</v>
      </c>
      <c r="F19" s="6" t="s">
        <v>2</v>
      </c>
      <c r="G19" s="6">
        <v>15</v>
      </c>
      <c r="H19" s="6" t="s">
        <v>2</v>
      </c>
      <c r="I19" s="6">
        <v>1</v>
      </c>
      <c r="J19" s="34"/>
      <c r="K19" s="34"/>
      <c r="L19" s="34"/>
      <c r="M19" s="34"/>
      <c r="N19" s="34"/>
      <c r="O19" s="34"/>
      <c r="P19" s="34"/>
      <c r="Q19" s="34"/>
      <c r="R19" s="34"/>
      <c r="S19" s="34"/>
      <c r="T19" s="34"/>
    </row>
    <row r="20" spans="1:20" x14ac:dyDescent="0.3">
      <c r="A20" s="34"/>
      <c r="B20" s="34"/>
      <c r="C20" s="34"/>
      <c r="D20" s="34"/>
      <c r="E20" s="34"/>
      <c r="F20" s="34"/>
      <c r="G20" s="34"/>
      <c r="H20" s="34"/>
      <c r="I20" s="34"/>
      <c r="J20" s="34"/>
      <c r="K20" s="34"/>
      <c r="L20" s="34"/>
      <c r="M20" s="34"/>
      <c r="N20" s="34"/>
      <c r="O20" s="34"/>
      <c r="P20" s="34"/>
      <c r="Q20" s="34"/>
      <c r="R20" s="34"/>
      <c r="S20" s="34"/>
      <c r="T20" s="34"/>
    </row>
    <row r="21" spans="1:20" x14ac:dyDescent="0.3">
      <c r="A21" s="34" t="s">
        <v>2295</v>
      </c>
      <c r="B21" s="34" t="s">
        <v>2296</v>
      </c>
      <c r="C21" s="34" t="s">
        <v>2297</v>
      </c>
      <c r="D21" s="34" t="s">
        <v>2298</v>
      </c>
      <c r="E21" s="34" t="s">
        <v>2299</v>
      </c>
      <c r="F21" s="34" t="s">
        <v>2300</v>
      </c>
      <c r="G21" s="34" t="s">
        <v>2301</v>
      </c>
      <c r="H21" s="34" t="s">
        <v>2302</v>
      </c>
      <c r="I21" s="34" t="s">
        <v>2303</v>
      </c>
      <c r="J21" s="34" t="s">
        <v>2304</v>
      </c>
      <c r="K21" s="34" t="s">
        <v>2305</v>
      </c>
      <c r="L21" s="34" t="s">
        <v>2306</v>
      </c>
      <c r="M21" s="34" t="s">
        <v>2307</v>
      </c>
      <c r="N21" s="34" t="s">
        <v>2308</v>
      </c>
      <c r="O21" s="34" t="s">
        <v>2309</v>
      </c>
      <c r="P21" s="34" t="s">
        <v>2310</v>
      </c>
      <c r="Q21" s="34" t="s">
        <v>2311</v>
      </c>
      <c r="R21" s="34" t="s">
        <v>2312</v>
      </c>
      <c r="S21" s="34" t="s">
        <v>2313</v>
      </c>
      <c r="T21" s="34"/>
    </row>
    <row r="22" spans="1:20" x14ac:dyDescent="0.3">
      <c r="A22" s="43">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4"/>
    </row>
    <row r="23" spans="1:20" x14ac:dyDescent="0.3">
      <c r="A23" s="34"/>
      <c r="B23" s="34"/>
      <c r="C23" s="34"/>
      <c r="D23" s="34"/>
      <c r="E23" s="34"/>
      <c r="F23" s="34"/>
      <c r="G23" s="34"/>
      <c r="H23" s="34"/>
      <c r="I23" s="34"/>
      <c r="J23" s="34"/>
      <c r="K23" s="34"/>
      <c r="L23" s="34"/>
      <c r="M23" s="34"/>
      <c r="N23" s="34"/>
      <c r="O23" s="34"/>
      <c r="P23" s="34"/>
      <c r="Q23" s="34"/>
      <c r="R23" s="34"/>
      <c r="S23" s="34"/>
      <c r="T23" s="34"/>
    </row>
    <row r="24" spans="1:20" x14ac:dyDescent="0.3">
      <c r="A24" s="34" t="s">
        <v>2314</v>
      </c>
      <c r="B24" s="34" t="s">
        <v>2315</v>
      </c>
      <c r="C24" s="34" t="s">
        <v>2316</v>
      </c>
      <c r="D24" s="34" t="s">
        <v>2317</v>
      </c>
      <c r="E24" s="34" t="s">
        <v>2318</v>
      </c>
      <c r="F24" s="34" t="s">
        <v>2319</v>
      </c>
      <c r="G24" s="34" t="s">
        <v>2320</v>
      </c>
      <c r="H24" s="34" t="s">
        <v>2321</v>
      </c>
      <c r="I24" s="34" t="s">
        <v>2322</v>
      </c>
      <c r="J24" s="34" t="s">
        <v>2323</v>
      </c>
      <c r="K24" s="34" t="s">
        <v>2324</v>
      </c>
      <c r="L24" s="34" t="s">
        <v>2315</v>
      </c>
      <c r="M24" s="34" t="s">
        <v>2316</v>
      </c>
      <c r="N24" s="34" t="s">
        <v>2317</v>
      </c>
      <c r="O24" s="34" t="s">
        <v>2318</v>
      </c>
      <c r="P24" s="34" t="s">
        <v>2319</v>
      </c>
      <c r="Q24" s="34" t="s">
        <v>2320</v>
      </c>
      <c r="R24" s="34" t="s">
        <v>2321</v>
      </c>
      <c r="S24" s="34" t="s">
        <v>2322</v>
      </c>
      <c r="T24" s="34"/>
    </row>
    <row r="25" spans="1:20" x14ac:dyDescent="0.3">
      <c r="A25" s="43">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4"/>
    </row>
    <row r="26" spans="1:20" x14ac:dyDescent="0.3">
      <c r="A26" s="34"/>
      <c r="B26" s="34"/>
      <c r="C26" s="34"/>
      <c r="D26" s="34"/>
      <c r="E26" s="34"/>
      <c r="F26" s="34"/>
      <c r="G26" s="34"/>
      <c r="H26" s="34"/>
      <c r="I26" s="34"/>
      <c r="J26" s="34"/>
      <c r="K26" s="34"/>
      <c r="L26" s="34"/>
      <c r="M26" s="34"/>
      <c r="N26" s="34"/>
      <c r="O26" s="34"/>
      <c r="P26" s="34"/>
      <c r="Q26" s="34"/>
      <c r="R26" s="34"/>
      <c r="S26" s="34"/>
      <c r="T26" s="34"/>
    </row>
    <row r="27" spans="1:20" x14ac:dyDescent="0.3">
      <c r="A27" s="34" t="s">
        <v>2325</v>
      </c>
      <c r="B27" s="34" t="s">
        <v>2326</v>
      </c>
      <c r="C27" s="34" t="s">
        <v>2330</v>
      </c>
      <c r="D27" s="34" t="s">
        <v>2331</v>
      </c>
      <c r="E27" s="34" t="s">
        <v>2332</v>
      </c>
      <c r="F27" s="34"/>
      <c r="G27" s="34"/>
      <c r="H27" s="34"/>
      <c r="I27" s="34"/>
      <c r="J27" s="34"/>
      <c r="K27" s="34"/>
      <c r="L27" s="34"/>
      <c r="M27" s="34"/>
      <c r="N27" s="34"/>
      <c r="O27" s="34"/>
      <c r="P27" s="34"/>
      <c r="Q27" s="34"/>
      <c r="R27" s="34"/>
      <c r="S27" s="34"/>
      <c r="T27" s="34"/>
    </row>
    <row r="28" spans="1:20" x14ac:dyDescent="0.3">
      <c r="A28" s="43">
        <v>1</v>
      </c>
      <c r="B28" s="6">
        <v>20000</v>
      </c>
      <c r="C28" s="43"/>
      <c r="D28" s="43"/>
      <c r="E28" s="43"/>
      <c r="F28" s="34"/>
      <c r="G28" s="34"/>
      <c r="H28" s="34"/>
      <c r="I28" s="34"/>
      <c r="J28" s="34"/>
      <c r="K28" s="34"/>
      <c r="L28" s="34"/>
      <c r="M28" s="34"/>
      <c r="N28" s="34"/>
      <c r="O28" s="34"/>
      <c r="P28" s="34"/>
      <c r="Q28" s="34"/>
      <c r="R28" s="34"/>
      <c r="S28" s="34"/>
      <c r="T28" s="34"/>
    </row>
    <row r="29" spans="1:20" x14ac:dyDescent="0.3">
      <c r="A29" s="34"/>
      <c r="B29" s="34"/>
      <c r="C29" s="34"/>
      <c r="D29" s="34"/>
      <c r="E29" s="34"/>
      <c r="F29" s="34"/>
      <c r="G29" s="34"/>
      <c r="H29" s="34"/>
      <c r="I29" s="34"/>
      <c r="J29" s="34"/>
      <c r="K29" s="34"/>
      <c r="L29" s="34"/>
      <c r="M29" s="34"/>
      <c r="N29" s="34"/>
      <c r="O29" s="34"/>
      <c r="P29" s="34"/>
      <c r="Q29" s="34"/>
      <c r="R29" s="34"/>
      <c r="S29" s="34"/>
      <c r="T29" s="34"/>
    </row>
    <row r="30" spans="1:20" x14ac:dyDescent="0.3">
      <c r="A30" s="34" t="s">
        <v>2327</v>
      </c>
      <c r="B30" s="34"/>
      <c r="C30" s="34"/>
      <c r="D30" s="34"/>
      <c r="E30" s="34"/>
      <c r="F30" s="34"/>
      <c r="G30" s="34"/>
      <c r="H30" s="34"/>
      <c r="I30" s="34"/>
      <c r="J30" s="34"/>
      <c r="K30" s="34"/>
      <c r="L30" s="34"/>
      <c r="M30" s="34"/>
      <c r="N30" s="34"/>
      <c r="O30" s="34"/>
      <c r="P30" s="34"/>
      <c r="Q30" s="34"/>
      <c r="R30" s="34"/>
      <c r="S30" s="34"/>
      <c r="T30" s="34"/>
    </row>
    <row r="31" spans="1:20" x14ac:dyDescent="0.3">
      <c r="A31" s="43">
        <v>1</v>
      </c>
      <c r="B31" s="6" t="s">
        <v>2328</v>
      </c>
      <c r="C31" s="34"/>
      <c r="D31" s="34"/>
      <c r="E31" s="34"/>
      <c r="F31" s="34"/>
      <c r="G31" s="34"/>
      <c r="H31" s="34"/>
      <c r="I31" s="34"/>
      <c r="J31" s="34"/>
      <c r="K31" s="34"/>
      <c r="L31" s="34"/>
      <c r="M31" s="34"/>
      <c r="N31" s="34"/>
      <c r="O31" s="34"/>
      <c r="P31" s="34"/>
      <c r="Q31" s="34"/>
      <c r="R31" s="34"/>
      <c r="S31" s="34"/>
      <c r="T31" s="34"/>
    </row>
    <row r="32" spans="1:20" x14ac:dyDescent="0.3">
      <c r="A32" s="34"/>
      <c r="B32" s="34"/>
      <c r="C32" s="34"/>
      <c r="D32" s="34"/>
      <c r="E32" s="34"/>
      <c r="F32" s="34"/>
      <c r="G32" s="34"/>
      <c r="H32" s="34"/>
      <c r="I32" s="34"/>
      <c r="J32" s="34"/>
      <c r="K32" s="34"/>
      <c r="L32" s="34"/>
      <c r="M32" s="34"/>
      <c r="N32" s="34"/>
      <c r="O32" s="34"/>
      <c r="P32" s="34"/>
      <c r="Q32" s="34"/>
      <c r="R32" s="34"/>
      <c r="S32" s="34"/>
      <c r="T32" s="34"/>
    </row>
    <row r="36" spans="5:5" x14ac:dyDescent="0.3">
      <c r="E36" t="s">
        <v>1673</v>
      </c>
    </row>
    <row r="37" spans="5:5" x14ac:dyDescent="0.3">
      <c r="E37" s="66" t="s">
        <v>1672</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9"/>
  <sheetViews>
    <sheetView workbookViewId="0">
      <selection activeCell="D12" sqref="D12"/>
    </sheetView>
  </sheetViews>
  <sheetFormatPr defaultRowHeight="14.4" x14ac:dyDescent="0.3"/>
  <cols>
    <col min="1" max="1" width="21.5546875" customWidth="1"/>
    <col min="2" max="2" width="35.109375" customWidth="1"/>
    <col min="3" max="3" width="16.6640625" customWidth="1"/>
    <col min="4" max="4" width="23.6640625" customWidth="1"/>
  </cols>
  <sheetData>
    <row r="1" spans="1:9" x14ac:dyDescent="0.3">
      <c r="A1" s="59" t="s">
        <v>1542</v>
      </c>
      <c r="B1" s="59"/>
      <c r="C1" s="59"/>
      <c r="D1" s="59"/>
    </row>
    <row r="2" spans="1:9" x14ac:dyDescent="0.3">
      <c r="A2" s="6" t="s">
        <v>2</v>
      </c>
      <c r="B2" s="59"/>
      <c r="C2" s="59"/>
      <c r="D2" s="59"/>
      <c r="I2" t="s">
        <v>1673</v>
      </c>
    </row>
    <row r="3" spans="1:9" x14ac:dyDescent="0.3">
      <c r="A3" s="60" t="s">
        <v>1533</v>
      </c>
      <c r="B3" s="60" t="s">
        <v>1543</v>
      </c>
      <c r="C3" s="59"/>
      <c r="D3" s="59"/>
      <c r="I3" s="66" t="s">
        <v>1672</v>
      </c>
    </row>
    <row r="4" spans="1:9" x14ac:dyDescent="0.3">
      <c r="A4" s="6">
        <v>1</v>
      </c>
      <c r="B4" s="6">
        <v>1</v>
      </c>
      <c r="C4" s="59"/>
      <c r="D4" s="59"/>
    </row>
    <row r="5" spans="1:9" x14ac:dyDescent="0.3">
      <c r="A5" s="60" t="s">
        <v>1534</v>
      </c>
      <c r="B5" s="60" t="s">
        <v>1535</v>
      </c>
      <c r="C5" s="60" t="s">
        <v>1536</v>
      </c>
      <c r="D5" s="59"/>
    </row>
    <row r="6" spans="1:9" x14ac:dyDescent="0.3">
      <c r="A6" s="6">
        <v>396</v>
      </c>
      <c r="B6" s="6">
        <v>1</v>
      </c>
      <c r="C6" s="6">
        <v>4.1666700000000001E-2</v>
      </c>
      <c r="D6" s="59"/>
      <c r="E6" t="s">
        <v>1549</v>
      </c>
    </row>
    <row r="7" spans="1:9" x14ac:dyDescent="0.3">
      <c r="A7" s="60" t="s">
        <v>1537</v>
      </c>
      <c r="B7" s="61" t="s">
        <v>1544</v>
      </c>
      <c r="C7" s="59"/>
      <c r="D7" s="59"/>
    </row>
    <row r="8" spans="1:9" x14ac:dyDescent="0.3">
      <c r="A8" s="6">
        <v>3</v>
      </c>
      <c r="B8" s="6">
        <v>1</v>
      </c>
      <c r="C8" s="59"/>
      <c r="D8" s="59"/>
    </row>
    <row r="9" spans="1:9" x14ac:dyDescent="0.3">
      <c r="A9" s="60" t="s">
        <v>1538</v>
      </c>
      <c r="B9" s="60" t="s">
        <v>1539</v>
      </c>
      <c r="C9" s="60" t="s">
        <v>1540</v>
      </c>
      <c r="D9" s="60" t="s">
        <v>1541</v>
      </c>
      <c r="E9" s="19" t="s">
        <v>1548</v>
      </c>
    </row>
    <row r="10" spans="1:9" x14ac:dyDescent="0.3">
      <c r="A10" s="6">
        <v>1</v>
      </c>
      <c r="B10" s="6">
        <v>1</v>
      </c>
      <c r="C10" s="6">
        <v>1</v>
      </c>
      <c r="D10" s="6">
        <v>0.5</v>
      </c>
      <c r="E10" t="s">
        <v>1550</v>
      </c>
    </row>
    <row r="11" spans="1:9" x14ac:dyDescent="0.3">
      <c r="A11" s="6">
        <v>2</v>
      </c>
      <c r="B11" s="6">
        <v>4</v>
      </c>
      <c r="C11" s="6">
        <v>1</v>
      </c>
      <c r="D11" s="6">
        <v>0.5</v>
      </c>
    </row>
    <row r="12" spans="1:9" x14ac:dyDescent="0.3">
      <c r="A12" s="6">
        <v>5</v>
      </c>
      <c r="B12" s="6">
        <v>6</v>
      </c>
      <c r="C12" s="6">
        <v>1</v>
      </c>
      <c r="D12" s="6">
        <v>0.5</v>
      </c>
    </row>
    <row r="13" spans="1:9" x14ac:dyDescent="0.3">
      <c r="A13" s="59"/>
      <c r="B13" s="59"/>
      <c r="C13" s="59"/>
      <c r="D13" s="59"/>
    </row>
    <row r="17" spans="2:2" x14ac:dyDescent="0.3">
      <c r="B17" s="3" t="s">
        <v>1547</v>
      </c>
    </row>
    <row r="18" spans="2:2" x14ac:dyDescent="0.3">
      <c r="B18" t="s">
        <v>1545</v>
      </c>
    </row>
    <row r="19" spans="2:2" x14ac:dyDescent="0.3">
      <c r="B19" t="s">
        <v>1546</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78" t="s">
        <v>1619</v>
      </c>
      <c r="B1" s="49"/>
      <c r="C1" s="49"/>
      <c r="D1" s="49"/>
      <c r="E1" s="49"/>
      <c r="F1" s="49"/>
      <c r="G1" s="49"/>
      <c r="H1" s="49"/>
      <c r="I1" s="49"/>
      <c r="J1" s="49"/>
      <c r="K1" s="49"/>
      <c r="L1" s="49"/>
      <c r="M1" s="49"/>
      <c r="N1" s="49"/>
      <c r="O1" s="49"/>
      <c r="P1" s="49"/>
      <c r="Q1" s="49"/>
      <c r="R1" s="49"/>
      <c r="S1" s="49"/>
      <c r="T1" s="49"/>
      <c r="U1" s="49"/>
      <c r="V1" s="49"/>
      <c r="X1" t="s">
        <v>1673</v>
      </c>
    </row>
    <row r="2" spans="1:24" x14ac:dyDescent="0.3">
      <c r="A2" s="6" t="s">
        <v>2</v>
      </c>
      <c r="B2" s="49"/>
      <c r="C2" s="49"/>
      <c r="D2" s="49"/>
      <c r="E2" s="49"/>
      <c r="F2" s="49"/>
      <c r="G2" s="49"/>
      <c r="H2" s="49"/>
      <c r="I2" s="49"/>
      <c r="J2" s="49"/>
      <c r="K2" s="49"/>
      <c r="L2" s="49"/>
      <c r="M2" s="49"/>
      <c r="N2" s="49"/>
      <c r="O2" s="49"/>
      <c r="P2" s="49"/>
      <c r="Q2" s="49"/>
      <c r="R2" s="49"/>
      <c r="S2" s="49"/>
      <c r="T2" s="49"/>
      <c r="U2" s="49"/>
      <c r="V2" s="49"/>
      <c r="X2" s="66" t="s">
        <v>1672</v>
      </c>
    </row>
    <row r="3" spans="1:24" x14ac:dyDescent="0.3">
      <c r="A3" s="78" t="s">
        <v>1819</v>
      </c>
      <c r="B3" s="49" t="s">
        <v>1818</v>
      </c>
      <c r="C3" s="49"/>
      <c r="D3" s="49"/>
      <c r="E3" s="49"/>
      <c r="F3" s="49"/>
      <c r="G3" s="49"/>
      <c r="H3" s="49"/>
      <c r="I3" s="49"/>
      <c r="J3" s="49"/>
      <c r="K3" s="49"/>
      <c r="L3" s="49"/>
      <c r="M3" s="49"/>
      <c r="N3" s="49"/>
      <c r="O3" s="49"/>
      <c r="P3" s="49"/>
      <c r="Q3" s="49"/>
      <c r="R3" s="49"/>
      <c r="S3" s="49"/>
      <c r="T3" s="49"/>
      <c r="U3" s="49"/>
      <c r="V3" s="49"/>
    </row>
    <row r="4" spans="1:24" x14ac:dyDescent="0.3">
      <c r="A4" s="6">
        <v>1</v>
      </c>
      <c r="B4" s="6">
        <v>1</v>
      </c>
      <c r="C4" s="49"/>
      <c r="D4" s="49"/>
      <c r="E4" s="49"/>
      <c r="F4" s="49"/>
      <c r="G4" s="49"/>
      <c r="H4" s="49"/>
      <c r="I4" s="49"/>
      <c r="J4" s="49"/>
      <c r="K4" s="49"/>
      <c r="L4" s="49"/>
      <c r="M4" s="49"/>
      <c r="N4" s="49"/>
      <c r="O4" s="49"/>
      <c r="P4" s="49"/>
      <c r="Q4" s="49"/>
      <c r="R4" s="49"/>
      <c r="S4" s="49"/>
      <c r="T4" s="49"/>
      <c r="U4" s="49"/>
      <c r="V4" s="49"/>
    </row>
    <row r="5" spans="1:24" x14ac:dyDescent="0.3">
      <c r="A5" s="36" t="s">
        <v>1620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6" t="s">
        <v>1621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6" t="s">
        <v>1622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6" t="s">
        <v>1623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6" t="s">
        <v>1624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1625</v>
      </c>
      <c r="B15" s="5" t="s">
        <v>1626</v>
      </c>
      <c r="C15" s="5" t="s">
        <v>1627</v>
      </c>
      <c r="D15" s="5" t="s">
        <v>1628</v>
      </c>
      <c r="E15" s="5" t="s">
        <v>1629</v>
      </c>
      <c r="F15" s="5" t="s">
        <v>1630</v>
      </c>
      <c r="G15" s="5" t="s">
        <v>1631</v>
      </c>
      <c r="H15" s="5" t="s">
        <v>1632</v>
      </c>
      <c r="I15" s="36" t="s">
        <v>1633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1634</v>
      </c>
      <c r="B17" s="5" t="s">
        <v>1635</v>
      </c>
      <c r="C17" s="5" t="s">
        <v>1636</v>
      </c>
      <c r="D17" s="5" t="s">
        <v>1637</v>
      </c>
      <c r="E17" s="5" t="s">
        <v>1638</v>
      </c>
      <c r="F17" s="5" t="s">
        <v>1639</v>
      </c>
      <c r="G17" s="5" t="s">
        <v>1640</v>
      </c>
      <c r="H17" s="5" t="s">
        <v>1641</v>
      </c>
      <c r="I17" s="5" t="s">
        <v>1642</v>
      </c>
      <c r="J17" s="5" t="s">
        <v>1630</v>
      </c>
      <c r="K17" s="5" t="s">
        <v>1631</v>
      </c>
      <c r="L17" s="5" t="s">
        <v>1632</v>
      </c>
      <c r="M17" s="36" t="s">
        <v>1643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1634</v>
      </c>
      <c r="B19" s="5" t="s">
        <v>1635</v>
      </c>
      <c r="C19" s="5" t="s">
        <v>1636</v>
      </c>
      <c r="D19" s="5" t="s">
        <v>1637</v>
      </c>
      <c r="E19" s="5" t="s">
        <v>1638</v>
      </c>
      <c r="F19" s="5" t="s">
        <v>1644</v>
      </c>
      <c r="G19" s="5" t="s">
        <v>1645</v>
      </c>
      <c r="H19" s="5" t="s">
        <v>1646</v>
      </c>
      <c r="I19" s="5" t="s">
        <v>1647</v>
      </c>
      <c r="J19" s="5" t="s">
        <v>1648</v>
      </c>
      <c r="K19" s="5" t="s">
        <v>1649</v>
      </c>
      <c r="L19" s="5" t="s">
        <v>1650</v>
      </c>
      <c r="M19" s="5" t="s">
        <v>1651</v>
      </c>
      <c r="N19" s="5" t="s">
        <v>1630</v>
      </c>
      <c r="O19" s="5" t="s">
        <v>1631</v>
      </c>
      <c r="P19" s="5" t="s">
        <v>1632</v>
      </c>
      <c r="Q19" s="36" t="s">
        <v>1652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1" t="s">
        <v>1620</v>
      </c>
      <c r="B21" s="51"/>
      <c r="C21" s="51"/>
      <c r="D21" s="51"/>
      <c r="E21" s="51"/>
      <c r="F21" s="51"/>
      <c r="G21" s="51"/>
      <c r="H21" s="51"/>
      <c r="I21" s="51"/>
      <c r="J21" s="51"/>
      <c r="K21" s="51"/>
      <c r="L21" s="51"/>
      <c r="M21" s="51"/>
      <c r="N21" s="51"/>
      <c r="O21" s="51"/>
      <c r="P21" s="51"/>
      <c r="Q21" s="51"/>
      <c r="R21" s="51"/>
      <c r="S21" s="51"/>
      <c r="T21" s="51"/>
      <c r="U21" s="51"/>
      <c r="V21" s="51"/>
    </row>
    <row r="22" spans="1:22" x14ac:dyDescent="0.3">
      <c r="A22" s="6">
        <v>2</v>
      </c>
      <c r="B22" s="51"/>
      <c r="C22" s="51"/>
      <c r="D22" s="51"/>
      <c r="E22" s="51"/>
      <c r="F22" s="51"/>
      <c r="G22" s="51"/>
      <c r="H22" s="51"/>
      <c r="I22" s="51"/>
      <c r="J22" s="51"/>
      <c r="K22" s="51"/>
      <c r="L22" s="51"/>
      <c r="M22" s="51"/>
      <c r="N22" s="51"/>
      <c r="O22" s="51"/>
      <c r="P22" s="51"/>
      <c r="Q22" s="51"/>
      <c r="R22" s="51"/>
      <c r="S22" s="51"/>
      <c r="T22" s="51"/>
      <c r="U22" s="51"/>
      <c r="V22" s="51"/>
    </row>
    <row r="23" spans="1:22" x14ac:dyDescent="0.3">
      <c r="A23" s="51" t="s">
        <v>1621</v>
      </c>
      <c r="B23" s="51"/>
      <c r="C23" s="51"/>
      <c r="D23" s="51"/>
      <c r="E23" s="51"/>
      <c r="F23" s="51"/>
      <c r="G23" s="51"/>
      <c r="H23" s="51"/>
      <c r="I23" s="51"/>
      <c r="J23" s="51"/>
      <c r="K23" s="51"/>
      <c r="L23" s="51"/>
      <c r="M23" s="51"/>
      <c r="N23" s="51"/>
      <c r="O23" s="51"/>
      <c r="P23" s="51"/>
      <c r="Q23" s="51"/>
      <c r="R23" s="51"/>
      <c r="S23" s="51"/>
      <c r="T23" s="51"/>
      <c r="U23" s="51"/>
      <c r="V23" s="51"/>
    </row>
    <row r="24" spans="1:22" x14ac:dyDescent="0.3">
      <c r="A24" s="6">
        <v>2</v>
      </c>
      <c r="B24" s="51"/>
      <c r="C24" s="51"/>
      <c r="D24" s="51"/>
      <c r="E24" s="51"/>
      <c r="F24" s="51"/>
      <c r="G24" s="51"/>
      <c r="H24" s="51"/>
      <c r="I24" s="51"/>
      <c r="J24" s="51"/>
      <c r="K24" s="51"/>
      <c r="L24" s="51"/>
      <c r="M24" s="51"/>
      <c r="N24" s="51"/>
      <c r="O24" s="51"/>
      <c r="P24" s="51"/>
      <c r="Q24" s="51"/>
      <c r="R24" s="51"/>
      <c r="S24" s="51"/>
      <c r="T24" s="51"/>
      <c r="U24" s="51"/>
      <c r="V24" s="51"/>
    </row>
    <row r="25" spans="1:22" x14ac:dyDescent="0.3">
      <c r="A25" s="51" t="s">
        <v>1622</v>
      </c>
      <c r="B25" s="51"/>
      <c r="C25" s="51"/>
      <c r="D25" s="51"/>
      <c r="E25" s="51"/>
      <c r="F25" s="51"/>
      <c r="G25" s="51"/>
      <c r="H25" s="51"/>
      <c r="I25" s="51"/>
      <c r="J25" s="51"/>
      <c r="K25" s="51"/>
      <c r="L25" s="51"/>
      <c r="M25" s="51"/>
      <c r="N25" s="51"/>
      <c r="O25" s="51"/>
      <c r="P25" s="51"/>
      <c r="Q25" s="51"/>
      <c r="R25" s="51"/>
      <c r="S25" s="51"/>
      <c r="T25" s="51"/>
      <c r="U25" s="51"/>
      <c r="V25" s="51"/>
    </row>
    <row r="26" spans="1:22" x14ac:dyDescent="0.3">
      <c r="A26" s="6">
        <v>180</v>
      </c>
      <c r="B26" s="6">
        <v>550</v>
      </c>
      <c r="C26" s="51"/>
      <c r="D26" s="51"/>
      <c r="E26" s="51"/>
      <c r="F26" s="51"/>
      <c r="G26" s="51"/>
      <c r="H26" s="51"/>
      <c r="I26" s="51"/>
      <c r="J26" s="51"/>
      <c r="K26" s="51"/>
      <c r="L26" s="51"/>
      <c r="M26" s="51"/>
      <c r="N26" s="51"/>
      <c r="O26" s="51"/>
      <c r="P26" s="51"/>
      <c r="Q26" s="51"/>
      <c r="R26" s="51"/>
      <c r="S26" s="51"/>
      <c r="T26" s="51"/>
      <c r="U26" s="51"/>
      <c r="V26" s="51"/>
    </row>
    <row r="27" spans="1:22" x14ac:dyDescent="0.3">
      <c r="A27" s="51" t="s">
        <v>1623</v>
      </c>
      <c r="B27" s="51"/>
      <c r="C27" s="51"/>
      <c r="D27" s="51"/>
      <c r="E27" s="51"/>
      <c r="F27" s="51"/>
      <c r="G27" s="51"/>
      <c r="H27" s="51"/>
      <c r="I27" s="51"/>
      <c r="J27" s="51"/>
      <c r="K27" s="51"/>
      <c r="L27" s="51"/>
      <c r="M27" s="51"/>
      <c r="N27" s="51"/>
      <c r="O27" s="51"/>
      <c r="P27" s="51"/>
      <c r="Q27" s="51"/>
      <c r="R27" s="51"/>
      <c r="S27" s="51"/>
      <c r="T27" s="51"/>
      <c r="U27" s="51"/>
      <c r="V27" s="51"/>
    </row>
    <row r="28" spans="1:22" x14ac:dyDescent="0.3">
      <c r="A28" s="6">
        <v>270</v>
      </c>
      <c r="B28" s="6">
        <v>730</v>
      </c>
      <c r="C28" s="51"/>
      <c r="D28" s="51"/>
      <c r="E28" s="51"/>
      <c r="F28" s="51"/>
      <c r="G28" s="51"/>
      <c r="H28" s="51"/>
      <c r="I28" s="51"/>
      <c r="J28" s="51"/>
      <c r="K28" s="51"/>
      <c r="L28" s="51"/>
      <c r="M28" s="51"/>
      <c r="N28" s="51"/>
      <c r="O28" s="51"/>
      <c r="P28" s="51"/>
      <c r="Q28" s="51"/>
      <c r="R28" s="51"/>
      <c r="S28" s="51"/>
      <c r="T28" s="51"/>
      <c r="U28" s="51"/>
      <c r="V28" s="51"/>
    </row>
    <row r="29" spans="1:22" x14ac:dyDescent="0.3">
      <c r="A29" s="51" t="s">
        <v>1624</v>
      </c>
      <c r="B29" s="51"/>
      <c r="C29" s="51"/>
      <c r="D29" s="51"/>
      <c r="E29" s="51"/>
      <c r="F29" s="51"/>
      <c r="G29" s="51"/>
      <c r="H29" s="51"/>
      <c r="I29" s="51"/>
      <c r="J29" s="51"/>
      <c r="K29" s="51"/>
      <c r="L29" s="51"/>
      <c r="M29" s="51"/>
      <c r="N29" s="51"/>
      <c r="O29" s="51"/>
      <c r="P29" s="51"/>
      <c r="Q29" s="51"/>
      <c r="R29" s="51"/>
      <c r="S29" s="51"/>
      <c r="T29" s="51"/>
      <c r="U29" s="51"/>
      <c r="V29" s="51"/>
    </row>
    <row r="30" spans="1:22" x14ac:dyDescent="0.3">
      <c r="A30" s="6">
        <v>2</v>
      </c>
      <c r="B30" s="51"/>
      <c r="C30" s="51"/>
      <c r="D30" s="51"/>
      <c r="E30" s="51"/>
      <c r="F30" s="51"/>
      <c r="G30" s="51"/>
      <c r="H30" s="51"/>
      <c r="I30" s="51"/>
      <c r="J30" s="51"/>
      <c r="K30" s="51"/>
      <c r="L30" s="51"/>
      <c r="M30" s="51"/>
      <c r="N30" s="51"/>
      <c r="O30" s="51"/>
      <c r="P30" s="51"/>
      <c r="Q30" s="51"/>
      <c r="R30" s="51"/>
      <c r="S30" s="51"/>
      <c r="T30" s="51"/>
      <c r="U30" s="51"/>
      <c r="V30" s="51"/>
    </row>
    <row r="31" spans="1:22" x14ac:dyDescent="0.3">
      <c r="A31" s="51" t="s">
        <v>1625</v>
      </c>
      <c r="B31" s="51" t="s">
        <v>1626</v>
      </c>
      <c r="C31" s="51" t="s">
        <v>1627</v>
      </c>
      <c r="D31" s="51" t="s">
        <v>1628</v>
      </c>
      <c r="E31" s="51" t="s">
        <v>1629</v>
      </c>
      <c r="F31" s="51" t="s">
        <v>1630</v>
      </c>
      <c r="G31" s="51" t="s">
        <v>1631</v>
      </c>
      <c r="H31" s="51" t="s">
        <v>1632</v>
      </c>
      <c r="I31" s="51" t="s">
        <v>1633</v>
      </c>
      <c r="J31" s="51"/>
      <c r="K31" s="51"/>
      <c r="L31" s="51"/>
      <c r="M31" s="51"/>
      <c r="N31" s="51"/>
      <c r="O31" s="51"/>
      <c r="P31" s="51"/>
      <c r="Q31" s="51"/>
      <c r="R31" s="51"/>
      <c r="S31" s="51"/>
      <c r="T31" s="51"/>
      <c r="U31" s="51"/>
      <c r="V31" s="51"/>
    </row>
    <row r="32" spans="1:22" x14ac:dyDescent="0.3">
      <c r="A32" s="6">
        <v>1.5</v>
      </c>
      <c r="B32" s="6">
        <v>1.5707960000000001</v>
      </c>
      <c r="C32" s="6">
        <v>0.05</v>
      </c>
      <c r="D32" s="6">
        <v>0</v>
      </c>
      <c r="E32" s="6">
        <v>15</v>
      </c>
      <c r="F32" s="6">
        <v>0</v>
      </c>
      <c r="G32" s="6">
        <v>25</v>
      </c>
      <c r="H32" s="6">
        <v>0.05</v>
      </c>
      <c r="I32" s="51"/>
      <c r="J32" s="51"/>
      <c r="K32" s="51"/>
      <c r="L32" s="51"/>
      <c r="M32" s="51"/>
      <c r="N32" s="51"/>
      <c r="O32" s="51"/>
      <c r="P32" s="51"/>
      <c r="Q32" s="51"/>
      <c r="R32" s="51"/>
      <c r="S32" s="51"/>
      <c r="T32" s="51"/>
      <c r="U32" s="51"/>
      <c r="V32" s="51"/>
    </row>
    <row r="33" spans="1:22" x14ac:dyDescent="0.3">
      <c r="A33" s="51" t="s">
        <v>1634</v>
      </c>
      <c r="B33" s="51" t="s">
        <v>1635</v>
      </c>
      <c r="C33" s="51" t="s">
        <v>1636</v>
      </c>
      <c r="D33" s="51" t="s">
        <v>1637</v>
      </c>
      <c r="E33" s="51" t="s">
        <v>1638</v>
      </c>
      <c r="F33" s="51" t="s">
        <v>1639</v>
      </c>
      <c r="G33" s="51" t="s">
        <v>1640</v>
      </c>
      <c r="H33" s="51" t="s">
        <v>1641</v>
      </c>
      <c r="I33" s="51" t="s">
        <v>1642</v>
      </c>
      <c r="J33" s="51" t="s">
        <v>1630</v>
      </c>
      <c r="K33" s="51" t="s">
        <v>1631</v>
      </c>
      <c r="L33" s="51" t="s">
        <v>1632</v>
      </c>
      <c r="M33" s="51" t="s">
        <v>1643</v>
      </c>
      <c r="N33" s="51"/>
      <c r="O33" s="51"/>
      <c r="P33" s="51"/>
      <c r="Q33" s="51"/>
      <c r="R33" s="51"/>
      <c r="S33" s="51"/>
      <c r="T33" s="51"/>
      <c r="U33" s="51"/>
      <c r="V33" s="51"/>
    </row>
    <row r="34" spans="1:22" x14ac:dyDescent="0.3">
      <c r="A34" s="51"/>
      <c r="B34" s="51"/>
      <c r="C34" s="51"/>
      <c r="D34" s="51"/>
      <c r="E34" s="51"/>
      <c r="F34" s="51"/>
      <c r="G34" s="51"/>
      <c r="H34" s="51"/>
      <c r="I34" s="51"/>
      <c r="J34" s="51"/>
      <c r="K34" s="51"/>
      <c r="L34" s="51"/>
      <c r="M34" s="51"/>
      <c r="N34" s="51"/>
      <c r="O34" s="51"/>
      <c r="P34" s="51"/>
      <c r="Q34" s="51"/>
      <c r="R34" s="51"/>
      <c r="S34" s="51"/>
      <c r="T34" s="51"/>
      <c r="U34" s="51"/>
      <c r="V34" s="51"/>
    </row>
    <row r="35" spans="1:22" x14ac:dyDescent="0.3">
      <c r="A35" s="51" t="s">
        <v>1634</v>
      </c>
      <c r="B35" s="51" t="s">
        <v>1635</v>
      </c>
      <c r="C35" s="51" t="s">
        <v>1636</v>
      </c>
      <c r="D35" s="51" t="s">
        <v>1637</v>
      </c>
      <c r="E35" s="51" t="s">
        <v>1638</v>
      </c>
      <c r="F35" s="51" t="s">
        <v>1644</v>
      </c>
      <c r="G35" s="51" t="s">
        <v>1645</v>
      </c>
      <c r="H35" s="51" t="s">
        <v>1646</v>
      </c>
      <c r="I35" s="51" t="s">
        <v>1647</v>
      </c>
      <c r="J35" s="51" t="s">
        <v>1648</v>
      </c>
      <c r="K35" s="51" t="s">
        <v>1649</v>
      </c>
      <c r="L35" s="51" t="s">
        <v>1650</v>
      </c>
      <c r="M35" s="51" t="s">
        <v>1651</v>
      </c>
      <c r="N35" s="51" t="s">
        <v>1630</v>
      </c>
      <c r="O35" s="51" t="s">
        <v>1631</v>
      </c>
      <c r="P35" s="51" t="s">
        <v>1632</v>
      </c>
      <c r="Q35" s="51" t="s">
        <v>1652</v>
      </c>
      <c r="R35" s="51"/>
      <c r="S35" s="51"/>
      <c r="T35" s="51"/>
      <c r="U35" s="51"/>
      <c r="V35" s="51"/>
    </row>
    <row r="36" spans="1:22" x14ac:dyDescent="0.3">
      <c r="A36" s="51"/>
      <c r="B36" s="51"/>
      <c r="C36" s="51"/>
      <c r="D36" s="51"/>
      <c r="E36" s="51"/>
      <c r="F36" s="51"/>
      <c r="G36" s="51"/>
      <c r="H36" s="51"/>
      <c r="I36" s="51"/>
      <c r="J36" s="51"/>
      <c r="K36" s="51"/>
      <c r="L36" s="51"/>
      <c r="M36" s="51"/>
      <c r="N36" s="51"/>
      <c r="O36" s="51"/>
      <c r="P36" s="51"/>
      <c r="Q36" s="51"/>
      <c r="R36" s="51"/>
      <c r="S36" s="51"/>
      <c r="T36" s="51"/>
      <c r="U36" s="51"/>
      <c r="V36" s="51"/>
    </row>
    <row r="37" spans="1:22" x14ac:dyDescent="0.3">
      <c r="A37" s="5" t="s">
        <v>1620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1621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1622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1623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1624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1625</v>
      </c>
      <c r="B47" s="5" t="s">
        <v>1626</v>
      </c>
      <c r="C47" s="5" t="s">
        <v>1627</v>
      </c>
      <c r="D47" s="5" t="s">
        <v>1628</v>
      </c>
      <c r="E47" s="5" t="s">
        <v>1629</v>
      </c>
      <c r="F47" s="5" t="s">
        <v>1630</v>
      </c>
      <c r="G47" s="5" t="s">
        <v>1631</v>
      </c>
      <c r="H47" s="5" t="s">
        <v>1632</v>
      </c>
      <c r="I47" s="5" t="s">
        <v>1633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1634</v>
      </c>
      <c r="B49" s="5" t="s">
        <v>1635</v>
      </c>
      <c r="C49" s="5" t="s">
        <v>1636</v>
      </c>
      <c r="D49" s="5" t="s">
        <v>1637</v>
      </c>
      <c r="E49" s="5" t="s">
        <v>1638</v>
      </c>
      <c r="F49" s="5" t="s">
        <v>1639</v>
      </c>
      <c r="G49" s="5" t="s">
        <v>1640</v>
      </c>
      <c r="H49" s="5" t="s">
        <v>1641</v>
      </c>
      <c r="I49" s="5" t="s">
        <v>1642</v>
      </c>
      <c r="J49" s="5" t="s">
        <v>1630</v>
      </c>
      <c r="K49" s="5" t="s">
        <v>1631</v>
      </c>
      <c r="L49" s="5" t="s">
        <v>1632</v>
      </c>
      <c r="M49" s="5" t="s">
        <v>1643</v>
      </c>
      <c r="N49" s="5"/>
      <c r="O49" s="5"/>
      <c r="P49" s="5"/>
      <c r="Q49" s="5"/>
      <c r="R49" s="5"/>
      <c r="S49" s="5"/>
      <c r="T49" s="5"/>
      <c r="U49" s="5"/>
      <c r="V49" s="5"/>
    </row>
    <row r="50" spans="1:22" x14ac:dyDescent="0.3">
      <c r="A50" s="67">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1634</v>
      </c>
      <c r="B51" s="5" t="s">
        <v>1635</v>
      </c>
      <c r="C51" s="5" t="s">
        <v>1636</v>
      </c>
      <c r="D51" s="5" t="s">
        <v>1637</v>
      </c>
      <c r="E51" s="5" t="s">
        <v>1638</v>
      </c>
      <c r="F51" s="5" t="s">
        <v>1644</v>
      </c>
      <c r="G51" s="5" t="s">
        <v>1645</v>
      </c>
      <c r="H51" s="5" t="s">
        <v>1646</v>
      </c>
      <c r="I51" s="5" t="s">
        <v>1647</v>
      </c>
      <c r="J51" s="5" t="s">
        <v>1648</v>
      </c>
      <c r="K51" s="5" t="s">
        <v>1649</v>
      </c>
      <c r="L51" s="5" t="s">
        <v>1650</v>
      </c>
      <c r="M51" s="5" t="s">
        <v>1651</v>
      </c>
      <c r="N51" s="5" t="s">
        <v>1630</v>
      </c>
      <c r="O51" s="5" t="s">
        <v>1631</v>
      </c>
      <c r="P51" s="5" t="s">
        <v>1632</v>
      </c>
      <c r="Q51" s="5" t="s">
        <v>1652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5" t="s">
        <v>1620</v>
      </c>
      <c r="B53" s="15"/>
      <c r="C53" s="15"/>
      <c r="D53" s="15"/>
      <c r="E53" s="15"/>
      <c r="F53" s="15"/>
      <c r="G53" s="15"/>
      <c r="H53" s="15"/>
      <c r="I53" s="15"/>
      <c r="J53" s="15"/>
      <c r="K53" s="15"/>
      <c r="L53" s="15"/>
      <c r="M53" s="15"/>
      <c r="N53" s="15"/>
      <c r="O53" s="15"/>
      <c r="P53" s="15"/>
      <c r="Q53" s="15"/>
      <c r="R53" s="15"/>
      <c r="S53" s="15"/>
      <c r="T53" s="15"/>
      <c r="U53" s="15"/>
      <c r="V53" s="15"/>
    </row>
    <row r="54" spans="1:22" x14ac:dyDescent="0.3">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3">
      <c r="A55" s="15" t="s">
        <v>1621</v>
      </c>
      <c r="B55" s="15"/>
      <c r="C55" s="15"/>
      <c r="D55" s="15"/>
      <c r="E55" s="15"/>
      <c r="F55" s="15"/>
      <c r="G55" s="15"/>
      <c r="H55" s="15"/>
      <c r="I55" s="15"/>
      <c r="J55" s="15"/>
      <c r="K55" s="15"/>
      <c r="L55" s="15"/>
      <c r="M55" s="15"/>
      <c r="N55" s="15"/>
      <c r="O55" s="15"/>
      <c r="P55" s="15"/>
      <c r="Q55" s="15"/>
      <c r="R55" s="15"/>
      <c r="S55" s="15"/>
      <c r="T55" s="15"/>
      <c r="U55" s="15"/>
      <c r="V55" s="15"/>
    </row>
    <row r="56" spans="1:22" x14ac:dyDescent="0.3">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3">
      <c r="A57" s="15" t="s">
        <v>1622</v>
      </c>
      <c r="B57" s="15"/>
      <c r="C57" s="15"/>
      <c r="D57" s="15"/>
      <c r="E57" s="15"/>
      <c r="F57" s="15"/>
      <c r="G57" s="15"/>
      <c r="H57" s="15"/>
      <c r="I57" s="15"/>
      <c r="J57" s="15"/>
      <c r="K57" s="15"/>
      <c r="L57" s="15"/>
      <c r="M57" s="15"/>
      <c r="N57" s="15"/>
      <c r="O57" s="15"/>
      <c r="P57" s="15"/>
      <c r="Q57" s="15"/>
      <c r="R57" s="15"/>
      <c r="S57" s="15"/>
      <c r="T57" s="15"/>
      <c r="U57" s="15"/>
      <c r="V57" s="15"/>
    </row>
    <row r="58" spans="1:22" x14ac:dyDescent="0.3">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3">
      <c r="A59" s="15" t="s">
        <v>1623</v>
      </c>
      <c r="B59" s="15"/>
      <c r="C59" s="15"/>
      <c r="D59" s="15"/>
      <c r="E59" s="15"/>
      <c r="F59" s="15"/>
      <c r="G59" s="15"/>
      <c r="H59" s="15"/>
      <c r="I59" s="15"/>
      <c r="J59" s="15"/>
      <c r="K59" s="15"/>
      <c r="L59" s="15"/>
      <c r="M59" s="15"/>
      <c r="N59" s="15"/>
      <c r="O59" s="15"/>
      <c r="P59" s="15"/>
      <c r="Q59" s="15"/>
      <c r="R59" s="15"/>
      <c r="S59" s="15"/>
      <c r="T59" s="15"/>
      <c r="U59" s="15"/>
      <c r="V59" s="15"/>
    </row>
    <row r="60" spans="1:22" x14ac:dyDescent="0.3">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3">
      <c r="A61" s="15" t="s">
        <v>1624</v>
      </c>
      <c r="B61" s="15"/>
      <c r="C61" s="15"/>
      <c r="D61" s="15"/>
      <c r="E61" s="15"/>
      <c r="F61" s="15"/>
      <c r="G61" s="15"/>
      <c r="H61" s="15"/>
      <c r="I61" s="15"/>
      <c r="J61" s="15"/>
      <c r="K61" s="15"/>
      <c r="L61" s="15"/>
      <c r="M61" s="15"/>
      <c r="N61" s="15"/>
      <c r="O61" s="15"/>
      <c r="P61" s="15"/>
      <c r="Q61" s="15"/>
      <c r="R61" s="15"/>
      <c r="S61" s="15"/>
      <c r="T61" s="15"/>
      <c r="U61" s="15"/>
      <c r="V61" s="15"/>
    </row>
    <row r="62" spans="1:22" x14ac:dyDescent="0.3">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3">
      <c r="A63" s="15" t="s">
        <v>1625</v>
      </c>
      <c r="B63" s="15" t="s">
        <v>1626</v>
      </c>
      <c r="C63" s="15" t="s">
        <v>1627</v>
      </c>
      <c r="D63" s="15" t="s">
        <v>1628</v>
      </c>
      <c r="E63" s="15" t="s">
        <v>1629</v>
      </c>
      <c r="F63" s="15" t="s">
        <v>1630</v>
      </c>
      <c r="G63" s="15" t="s">
        <v>1631</v>
      </c>
      <c r="H63" s="15" t="s">
        <v>1632</v>
      </c>
      <c r="I63" s="15" t="s">
        <v>1633</v>
      </c>
      <c r="J63" s="15"/>
      <c r="K63" s="15"/>
      <c r="L63" s="15"/>
      <c r="M63" s="15"/>
      <c r="N63" s="15"/>
      <c r="O63" s="15"/>
      <c r="P63" s="15"/>
      <c r="Q63" s="15"/>
      <c r="R63" s="15"/>
      <c r="S63" s="15"/>
      <c r="T63" s="15"/>
      <c r="U63" s="15"/>
      <c r="V63" s="15"/>
    </row>
    <row r="64" spans="1:22" x14ac:dyDescent="0.3">
      <c r="A64" s="15"/>
      <c r="B64" s="15"/>
      <c r="C64" s="15"/>
      <c r="D64" s="15"/>
      <c r="E64" s="15"/>
      <c r="F64" s="15"/>
      <c r="G64" s="15"/>
      <c r="H64" s="15"/>
      <c r="I64" s="15"/>
      <c r="J64" s="15"/>
      <c r="K64" s="15"/>
      <c r="L64" s="15"/>
      <c r="M64" s="15"/>
      <c r="N64" s="15"/>
      <c r="O64" s="15"/>
      <c r="P64" s="15"/>
      <c r="Q64" s="15"/>
      <c r="R64" s="15"/>
      <c r="S64" s="15"/>
      <c r="T64" s="15"/>
      <c r="U64" s="15"/>
      <c r="V64" s="15"/>
    </row>
    <row r="65" spans="1:22" x14ac:dyDescent="0.3">
      <c r="A65" s="15" t="s">
        <v>1634</v>
      </c>
      <c r="B65" s="15" t="s">
        <v>1635</v>
      </c>
      <c r="C65" s="15" t="s">
        <v>1636</v>
      </c>
      <c r="D65" s="15" t="s">
        <v>1637</v>
      </c>
      <c r="E65" s="15" t="s">
        <v>1638</v>
      </c>
      <c r="F65" s="15" t="s">
        <v>1639</v>
      </c>
      <c r="G65" s="15" t="s">
        <v>1640</v>
      </c>
      <c r="H65" s="15" t="s">
        <v>1641</v>
      </c>
      <c r="I65" s="15" t="s">
        <v>1642</v>
      </c>
      <c r="J65" s="15" t="s">
        <v>1630</v>
      </c>
      <c r="K65" s="15" t="s">
        <v>1631</v>
      </c>
      <c r="L65" s="15" t="s">
        <v>1632</v>
      </c>
      <c r="M65" s="15" t="s">
        <v>1643</v>
      </c>
      <c r="N65" s="15"/>
      <c r="O65" s="15"/>
      <c r="P65" s="15"/>
      <c r="Q65" s="15"/>
      <c r="R65" s="15"/>
      <c r="S65" s="15"/>
      <c r="T65" s="15"/>
      <c r="U65" s="15"/>
      <c r="V65" s="15"/>
    </row>
    <row r="66" spans="1:22" x14ac:dyDescent="0.3">
      <c r="A66" s="15"/>
      <c r="B66" s="15"/>
      <c r="C66" s="15"/>
      <c r="D66" s="15"/>
      <c r="E66" s="15"/>
      <c r="F66" s="15"/>
      <c r="G66" s="15"/>
      <c r="H66" s="15"/>
      <c r="I66" s="15"/>
      <c r="J66" s="15"/>
      <c r="K66" s="15"/>
      <c r="L66" s="15"/>
      <c r="M66" s="15"/>
      <c r="N66" s="15"/>
      <c r="O66" s="15"/>
      <c r="P66" s="15"/>
      <c r="Q66" s="15"/>
      <c r="R66" s="15"/>
      <c r="S66" s="15"/>
      <c r="T66" s="15"/>
      <c r="U66" s="15"/>
      <c r="V66" s="15"/>
    </row>
    <row r="67" spans="1:22" x14ac:dyDescent="0.3">
      <c r="A67" s="15" t="s">
        <v>1634</v>
      </c>
      <c r="B67" s="15" t="s">
        <v>1635</v>
      </c>
      <c r="C67" s="15" t="s">
        <v>1636</v>
      </c>
      <c r="D67" s="15" t="s">
        <v>1637</v>
      </c>
      <c r="E67" s="15" t="s">
        <v>1638</v>
      </c>
      <c r="F67" s="15" t="s">
        <v>1644</v>
      </c>
      <c r="G67" s="15" t="s">
        <v>1645</v>
      </c>
      <c r="H67" s="15" t="s">
        <v>1646</v>
      </c>
      <c r="I67" s="15" t="s">
        <v>1647</v>
      </c>
      <c r="J67" s="15" t="s">
        <v>1648</v>
      </c>
      <c r="K67" s="15" t="s">
        <v>1649</v>
      </c>
      <c r="L67" s="15" t="s">
        <v>1650</v>
      </c>
      <c r="M67" s="15" t="s">
        <v>1651</v>
      </c>
      <c r="N67" s="15" t="s">
        <v>1630</v>
      </c>
      <c r="O67" s="15" t="s">
        <v>1631</v>
      </c>
      <c r="P67" s="15" t="s">
        <v>1632</v>
      </c>
      <c r="Q67" s="15" t="s">
        <v>1652</v>
      </c>
      <c r="R67" s="15"/>
      <c r="S67" s="15"/>
      <c r="T67" s="15"/>
      <c r="U67" s="15"/>
      <c r="V67" s="15"/>
    </row>
    <row r="68" spans="1:22" x14ac:dyDescent="0.3">
      <c r="A68" s="15"/>
      <c r="B68" s="15"/>
      <c r="C68" s="15"/>
      <c r="D68" s="15"/>
      <c r="E68" s="15"/>
      <c r="F68" s="15"/>
      <c r="G68" s="15"/>
      <c r="H68" s="15"/>
      <c r="I68" s="15"/>
      <c r="J68" s="15"/>
      <c r="K68" s="15"/>
      <c r="L68" s="15"/>
      <c r="M68" s="15"/>
      <c r="N68" s="15"/>
      <c r="O68" s="15"/>
      <c r="P68" s="15"/>
      <c r="Q68" s="15"/>
      <c r="R68" s="15"/>
      <c r="S68" s="15"/>
      <c r="T68" s="15"/>
      <c r="U68" s="15"/>
      <c r="V68" s="15"/>
    </row>
    <row r="69" spans="1:22" x14ac:dyDescent="0.3">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D22" sqref="D22"/>
    </sheetView>
  </sheetViews>
  <sheetFormatPr defaultRowHeight="14.4" x14ac:dyDescent="0.3"/>
  <cols>
    <col min="1" max="1" width="61.6640625" bestFit="1" customWidth="1"/>
  </cols>
  <sheetData>
    <row r="1" spans="1:8" x14ac:dyDescent="0.3">
      <c r="A1" t="s">
        <v>2336</v>
      </c>
      <c r="B1" s="34" t="s">
        <v>2337</v>
      </c>
      <c r="C1" s="34" t="s">
        <v>2338</v>
      </c>
      <c r="D1" s="34"/>
      <c r="E1" s="34"/>
      <c r="F1" s="34"/>
      <c r="G1" s="34"/>
    </row>
    <row r="2" spans="1:8" x14ac:dyDescent="0.3">
      <c r="A2" s="8" t="s">
        <v>2339</v>
      </c>
      <c r="B2" s="6" t="s">
        <v>2</v>
      </c>
      <c r="C2" s="1" t="s">
        <v>2</v>
      </c>
      <c r="D2" s="34"/>
      <c r="E2" s="34"/>
      <c r="F2" s="34"/>
      <c r="G2" s="34"/>
      <c r="H2" t="s">
        <v>2340</v>
      </c>
    </row>
    <row r="3" spans="1:8" x14ac:dyDescent="0.3">
      <c r="A3" s="8" t="s">
        <v>1685</v>
      </c>
      <c r="B3" s="71" t="s">
        <v>83</v>
      </c>
      <c r="C3" s="71" t="s">
        <v>84</v>
      </c>
      <c r="D3" s="71" t="s">
        <v>85</v>
      </c>
      <c r="E3" s="71" t="s">
        <v>1046</v>
      </c>
      <c r="F3" s="71" t="s">
        <v>1047</v>
      </c>
      <c r="G3" s="71" t="s">
        <v>1048</v>
      </c>
      <c r="H3" s="103" t="s">
        <v>2341</v>
      </c>
    </row>
    <row r="4" spans="1:8" x14ac:dyDescent="0.3">
      <c r="A4" s="8" t="s">
        <v>2342</v>
      </c>
      <c r="B4" s="6">
        <v>0.5</v>
      </c>
      <c r="C4" s="6">
        <v>0.25</v>
      </c>
      <c r="D4" s="6">
        <v>0.3</v>
      </c>
      <c r="E4" s="6"/>
      <c r="F4" s="6"/>
      <c r="G4" s="6"/>
      <c r="H4" t="s">
        <v>2343</v>
      </c>
    </row>
    <row r="5" spans="1:8" x14ac:dyDescent="0.3">
      <c r="A5" s="8" t="s">
        <v>2344</v>
      </c>
      <c r="B5" s="6">
        <v>0.1</v>
      </c>
      <c r="C5" s="6">
        <v>0.2</v>
      </c>
      <c r="D5" s="6">
        <v>0.2</v>
      </c>
      <c r="E5" s="6"/>
      <c r="F5" s="6"/>
      <c r="G5" s="6"/>
    </row>
    <row r="6" spans="1:8" x14ac:dyDescent="0.3">
      <c r="A6" s="8" t="s">
        <v>2345</v>
      </c>
      <c r="B6" s="6">
        <v>0.5</v>
      </c>
      <c r="C6" s="17"/>
      <c r="D6" s="17"/>
      <c r="E6" s="17"/>
      <c r="F6" s="17"/>
      <c r="G6" s="17"/>
      <c r="H6" t="s">
        <v>2346</v>
      </c>
    </row>
    <row r="7" spans="1:8" x14ac:dyDescent="0.3">
      <c r="A7" s="8" t="s">
        <v>2347</v>
      </c>
      <c r="B7" s="6">
        <v>0.1</v>
      </c>
      <c r="C7" s="17"/>
      <c r="D7" s="17"/>
      <c r="E7" s="17"/>
      <c r="F7" s="17"/>
      <c r="G7" s="17"/>
    </row>
    <row r="8" spans="1:8" x14ac:dyDescent="0.3">
      <c r="A8" s="8" t="s">
        <v>1686</v>
      </c>
      <c r="B8" s="71" t="s">
        <v>83</v>
      </c>
      <c r="C8" s="71" t="s">
        <v>84</v>
      </c>
      <c r="D8" s="71" t="s">
        <v>85</v>
      </c>
      <c r="E8" s="71" t="s">
        <v>1046</v>
      </c>
      <c r="F8" s="71" t="s">
        <v>1047</v>
      </c>
      <c r="G8" s="71" t="s">
        <v>1048</v>
      </c>
    </row>
    <row r="9" spans="1:8" x14ac:dyDescent="0.3">
      <c r="A9" s="8" t="s">
        <v>2348</v>
      </c>
      <c r="B9" s="6">
        <v>1</v>
      </c>
      <c r="C9" s="6">
        <v>0</v>
      </c>
      <c r="D9" s="6">
        <v>0</v>
      </c>
      <c r="E9" s="6"/>
      <c r="F9" s="6"/>
      <c r="G9" s="6"/>
    </row>
    <row r="10" spans="1:8" x14ac:dyDescent="0.3">
      <c r="A10" s="8" t="s">
        <v>2349</v>
      </c>
      <c r="B10" s="6">
        <v>0.25</v>
      </c>
      <c r="C10" s="6">
        <v>0.2</v>
      </c>
      <c r="D10" s="6">
        <v>0.2</v>
      </c>
      <c r="E10" s="6"/>
      <c r="F10" s="6"/>
      <c r="G10" s="6"/>
    </row>
    <row r="11" spans="1:8" x14ac:dyDescent="0.3">
      <c r="A11" s="8" t="s">
        <v>2350</v>
      </c>
      <c r="B11" s="6">
        <v>0.5</v>
      </c>
      <c r="C11" s="17"/>
      <c r="D11" s="17"/>
      <c r="E11" s="17"/>
      <c r="F11" s="17"/>
      <c r="G11" s="17"/>
    </row>
    <row r="12" spans="1:8" x14ac:dyDescent="0.3">
      <c r="A12" s="8" t="s">
        <v>2351</v>
      </c>
      <c r="B12" s="6">
        <v>0.25</v>
      </c>
      <c r="C12" s="17"/>
      <c r="D12" s="17"/>
      <c r="E12" s="17"/>
      <c r="F12" s="17"/>
      <c r="G12" s="17"/>
    </row>
    <row r="13" spans="1:8" x14ac:dyDescent="0.3">
      <c r="A13" s="8" t="s">
        <v>1687</v>
      </c>
      <c r="B13" s="71" t="s">
        <v>83</v>
      </c>
      <c r="C13" s="71" t="s">
        <v>84</v>
      </c>
      <c r="D13" s="71" t="s">
        <v>85</v>
      </c>
      <c r="E13" s="71" t="s">
        <v>1046</v>
      </c>
      <c r="F13" s="71" t="s">
        <v>1047</v>
      </c>
      <c r="G13" s="71" t="s">
        <v>1048</v>
      </c>
      <c r="H13" t="s">
        <v>2346</v>
      </c>
    </row>
    <row r="14" spans="1:8" x14ac:dyDescent="0.3">
      <c r="A14" s="8" t="s">
        <v>2352</v>
      </c>
      <c r="B14" s="6">
        <v>0.5</v>
      </c>
      <c r="C14" s="6">
        <v>0.25</v>
      </c>
      <c r="D14" s="6">
        <v>0.3</v>
      </c>
      <c r="E14" s="6"/>
      <c r="F14" s="6"/>
      <c r="G14" s="6"/>
    </row>
    <row r="15" spans="1:8" x14ac:dyDescent="0.3">
      <c r="A15" s="8" t="s">
        <v>2353</v>
      </c>
      <c r="B15" s="6">
        <v>0.1</v>
      </c>
      <c r="C15" s="6">
        <v>0.2</v>
      </c>
      <c r="D15" s="6">
        <v>0.2</v>
      </c>
      <c r="E15" s="6"/>
      <c r="F15" s="6"/>
      <c r="G15" s="6"/>
    </row>
    <row r="16" spans="1:8" x14ac:dyDescent="0.3">
      <c r="A16" s="8" t="s">
        <v>2354</v>
      </c>
      <c r="B16" s="6">
        <v>0.5</v>
      </c>
      <c r="C16" s="17"/>
      <c r="D16" s="17"/>
      <c r="E16" s="17"/>
      <c r="F16" s="17"/>
      <c r="G16" s="17"/>
    </row>
    <row r="17" spans="1:18" x14ac:dyDescent="0.3">
      <c r="A17" s="8" t="s">
        <v>2355</v>
      </c>
      <c r="B17" s="6">
        <v>0.1</v>
      </c>
      <c r="C17" s="17"/>
      <c r="D17" s="17"/>
      <c r="E17" s="17"/>
      <c r="F17" s="17"/>
      <c r="G17" s="17"/>
      <c r="R17" s="75" t="s">
        <v>1689</v>
      </c>
    </row>
    <row r="18" spans="1:18" x14ac:dyDescent="0.3">
      <c r="A18" s="8" t="s">
        <v>1688</v>
      </c>
      <c r="B18" s="71" t="s">
        <v>83</v>
      </c>
      <c r="C18" s="71" t="s">
        <v>84</v>
      </c>
      <c r="D18" s="71" t="s">
        <v>85</v>
      </c>
      <c r="E18" s="71" t="s">
        <v>1046</v>
      </c>
      <c r="F18" s="71" t="s">
        <v>1047</v>
      </c>
      <c r="G18" s="71" t="s">
        <v>1048</v>
      </c>
      <c r="R18" s="75" t="s">
        <v>1690</v>
      </c>
    </row>
    <row r="19" spans="1:18" x14ac:dyDescent="0.3">
      <c r="A19" s="8" t="s">
        <v>2356</v>
      </c>
      <c r="B19" s="6">
        <v>0.5</v>
      </c>
      <c r="C19" s="6">
        <v>0.25</v>
      </c>
      <c r="D19" s="6">
        <v>0.3</v>
      </c>
      <c r="E19" s="6"/>
      <c r="F19" s="6"/>
      <c r="G19" s="6"/>
      <c r="R19" s="75" t="s">
        <v>1691</v>
      </c>
    </row>
    <row r="20" spans="1:18" x14ac:dyDescent="0.3">
      <c r="A20" s="8" t="s">
        <v>2357</v>
      </c>
      <c r="B20" s="6">
        <v>0.1</v>
      </c>
      <c r="C20" s="6">
        <v>0.2</v>
      </c>
      <c r="D20" s="6">
        <v>0.2</v>
      </c>
      <c r="E20" s="6"/>
      <c r="F20" s="6"/>
      <c r="G20" s="6"/>
      <c r="H20" t="s">
        <v>2346</v>
      </c>
      <c r="R20" s="75" t="s">
        <v>1692</v>
      </c>
    </row>
    <row r="21" spans="1:18" x14ac:dyDescent="0.3">
      <c r="A21" s="8" t="s">
        <v>2358</v>
      </c>
      <c r="B21" s="6">
        <v>0.5</v>
      </c>
      <c r="C21" s="17"/>
      <c r="D21" s="17"/>
      <c r="E21" s="17"/>
      <c r="F21" s="17"/>
      <c r="G21" s="17"/>
      <c r="R21" s="75" t="s">
        <v>1693</v>
      </c>
    </row>
    <row r="22" spans="1:18" x14ac:dyDescent="0.3">
      <c r="A22" s="8" t="s">
        <v>2359</v>
      </c>
      <c r="B22" s="6">
        <v>0.1</v>
      </c>
      <c r="C22" s="17"/>
      <c r="D22" s="17"/>
      <c r="E22" s="17"/>
      <c r="F22" s="17"/>
      <c r="G22" s="17"/>
      <c r="R22" s="75" t="s">
        <v>1694</v>
      </c>
    </row>
    <row r="23" spans="1:18" x14ac:dyDescent="0.3">
      <c r="R23" s="75" t="s">
        <v>1695</v>
      </c>
    </row>
    <row r="24" spans="1:18" x14ac:dyDescent="0.3">
      <c r="A24" s="104" t="s">
        <v>2360</v>
      </c>
      <c r="R24" s="75" t="s">
        <v>1696</v>
      </c>
    </row>
    <row r="25" spans="1:18" x14ac:dyDescent="0.3">
      <c r="J25" s="75"/>
      <c r="R25" s="75" t="s">
        <v>1697</v>
      </c>
    </row>
    <row r="26" spans="1:18" x14ac:dyDescent="0.3">
      <c r="E26" t="s">
        <v>1673</v>
      </c>
      <c r="R26" s="75" t="s">
        <v>1698</v>
      </c>
    </row>
    <row r="27" spans="1:18" x14ac:dyDescent="0.3">
      <c r="E27" s="66" t="s">
        <v>1672</v>
      </c>
      <c r="R27" s="75" t="s">
        <v>1699</v>
      </c>
    </row>
    <row r="32" spans="1:18" x14ac:dyDescent="0.3">
      <c r="A32" t="s">
        <v>2361</v>
      </c>
    </row>
    <row r="33" spans="1:1" x14ac:dyDescent="0.3">
      <c r="A33" t="s">
        <v>2362</v>
      </c>
    </row>
    <row r="34" spans="1:1" x14ac:dyDescent="0.3">
      <c r="A34" s="109" t="s">
        <v>2372</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2112</v>
      </c>
      <c r="K2" t="s">
        <v>2199</v>
      </c>
    </row>
    <row r="3" spans="1:15" x14ac:dyDescent="0.3">
      <c r="K3" t="s">
        <v>2200</v>
      </c>
    </row>
    <row r="4" spans="1:15" x14ac:dyDescent="0.3">
      <c r="A4" t="s">
        <v>2113</v>
      </c>
      <c r="J4">
        <v>1</v>
      </c>
      <c r="K4" t="s">
        <v>2171</v>
      </c>
      <c r="O4" t="s">
        <v>2159</v>
      </c>
    </row>
    <row r="5" spans="1:15" x14ac:dyDescent="0.3">
      <c r="A5" t="s">
        <v>2114</v>
      </c>
      <c r="J5">
        <v>2</v>
      </c>
      <c r="K5" t="s">
        <v>2172</v>
      </c>
      <c r="O5" t="s">
        <v>2160</v>
      </c>
    </row>
    <row r="6" spans="1:15" x14ac:dyDescent="0.3">
      <c r="A6" t="s">
        <v>2115</v>
      </c>
      <c r="J6">
        <v>3</v>
      </c>
      <c r="K6" t="s">
        <v>2173</v>
      </c>
      <c r="O6" t="s">
        <v>2161</v>
      </c>
    </row>
    <row r="7" spans="1:15" x14ac:dyDescent="0.3">
      <c r="A7" t="s">
        <v>2116</v>
      </c>
      <c r="J7">
        <v>4</v>
      </c>
      <c r="K7" t="s">
        <v>2174</v>
      </c>
      <c r="O7" t="s">
        <v>2162</v>
      </c>
    </row>
    <row r="8" spans="1:15" x14ac:dyDescent="0.3">
      <c r="A8" t="s">
        <v>2117</v>
      </c>
      <c r="J8">
        <v>5</v>
      </c>
      <c r="K8" t="s">
        <v>2175</v>
      </c>
      <c r="O8" t="s">
        <v>2163</v>
      </c>
    </row>
    <row r="9" spans="1:15" x14ac:dyDescent="0.3">
      <c r="A9" t="s">
        <v>2118</v>
      </c>
      <c r="J9">
        <v>6</v>
      </c>
      <c r="K9" t="s">
        <v>2176</v>
      </c>
      <c r="O9" t="s">
        <v>2164</v>
      </c>
    </row>
    <row r="10" spans="1:15" x14ac:dyDescent="0.3">
      <c r="A10" t="s">
        <v>2119</v>
      </c>
      <c r="J10">
        <v>7</v>
      </c>
      <c r="K10" t="s">
        <v>2177</v>
      </c>
      <c r="O10" t="s">
        <v>2165</v>
      </c>
    </row>
    <row r="11" spans="1:15" x14ac:dyDescent="0.3">
      <c r="A11" t="s">
        <v>2120</v>
      </c>
      <c r="J11">
        <v>8</v>
      </c>
      <c r="K11" t="s">
        <v>2178</v>
      </c>
      <c r="O11" t="s">
        <v>2166</v>
      </c>
    </row>
    <row r="12" spans="1:15" x14ac:dyDescent="0.3">
      <c r="A12" t="s">
        <v>2121</v>
      </c>
      <c r="J12">
        <v>9</v>
      </c>
      <c r="K12" t="s">
        <v>2179</v>
      </c>
      <c r="O12" t="s">
        <v>2167</v>
      </c>
    </row>
    <row r="13" spans="1:15" x14ac:dyDescent="0.3">
      <c r="A13" t="s">
        <v>2122</v>
      </c>
      <c r="J13">
        <v>10</v>
      </c>
      <c r="K13" t="s">
        <v>2180</v>
      </c>
      <c r="O13" t="s">
        <v>2168</v>
      </c>
    </row>
    <row r="14" spans="1:15" x14ac:dyDescent="0.3">
      <c r="A14" t="s">
        <v>2123</v>
      </c>
      <c r="J14">
        <v>11</v>
      </c>
      <c r="K14" t="s">
        <v>2181</v>
      </c>
      <c r="O14" t="s">
        <v>2169</v>
      </c>
    </row>
    <row r="15" spans="1:15" x14ac:dyDescent="0.3">
      <c r="A15" t="s">
        <v>2124</v>
      </c>
      <c r="J15">
        <v>12</v>
      </c>
      <c r="K15" t="s">
        <v>2182</v>
      </c>
      <c r="O15" t="s">
        <v>2170</v>
      </c>
    </row>
    <row r="16" spans="1:15" x14ac:dyDescent="0.3">
      <c r="A16" t="s">
        <v>2125</v>
      </c>
      <c r="J16">
        <v>13</v>
      </c>
      <c r="K16" t="s">
        <v>2183</v>
      </c>
      <c r="O16" t="s">
        <v>2201</v>
      </c>
    </row>
    <row r="17" spans="1:15" x14ac:dyDescent="0.3">
      <c r="A17" t="s">
        <v>2126</v>
      </c>
      <c r="J17">
        <v>14</v>
      </c>
      <c r="K17" t="s">
        <v>2184</v>
      </c>
      <c r="O17" t="s">
        <v>2202</v>
      </c>
    </row>
    <row r="18" spans="1:15" x14ac:dyDescent="0.3">
      <c r="A18" t="s">
        <v>2127</v>
      </c>
      <c r="J18">
        <v>15</v>
      </c>
      <c r="K18" t="s">
        <v>2185</v>
      </c>
      <c r="O18" t="s">
        <v>2204</v>
      </c>
    </row>
    <row r="19" spans="1:15" x14ac:dyDescent="0.3">
      <c r="A19" t="s">
        <v>2128</v>
      </c>
      <c r="J19">
        <v>16</v>
      </c>
      <c r="K19" t="s">
        <v>2186</v>
      </c>
      <c r="O19" t="s">
        <v>2205</v>
      </c>
    </row>
    <row r="20" spans="1:15" x14ac:dyDescent="0.3">
      <c r="A20" t="s">
        <v>2129</v>
      </c>
      <c r="J20">
        <v>17</v>
      </c>
      <c r="K20" t="s">
        <v>2187</v>
      </c>
      <c r="O20" t="s">
        <v>2206</v>
      </c>
    </row>
    <row r="21" spans="1:15" x14ac:dyDescent="0.3">
      <c r="A21" t="s">
        <v>2130</v>
      </c>
      <c r="J21">
        <v>18</v>
      </c>
      <c r="K21" t="s">
        <v>2188</v>
      </c>
      <c r="O21" t="s">
        <v>2207</v>
      </c>
    </row>
    <row r="22" spans="1:15" x14ac:dyDescent="0.3">
      <c r="A22" t="s">
        <v>2131</v>
      </c>
      <c r="J22">
        <v>19</v>
      </c>
      <c r="K22" t="s">
        <v>2152</v>
      </c>
      <c r="O22" t="s">
        <v>2208</v>
      </c>
    </row>
    <row r="23" spans="1:15" x14ac:dyDescent="0.3">
      <c r="A23" t="s">
        <v>2132</v>
      </c>
      <c r="J23">
        <v>20</v>
      </c>
      <c r="K23" t="s">
        <v>2151</v>
      </c>
      <c r="O23" t="s">
        <v>2209</v>
      </c>
    </row>
    <row r="24" spans="1:15" x14ac:dyDescent="0.3">
      <c r="A24" t="s">
        <v>2133</v>
      </c>
      <c r="J24">
        <v>21</v>
      </c>
      <c r="K24" t="s">
        <v>2150</v>
      </c>
      <c r="O24" t="s">
        <v>2210</v>
      </c>
    </row>
    <row r="25" spans="1:15" x14ac:dyDescent="0.3">
      <c r="A25" t="s">
        <v>2134</v>
      </c>
      <c r="J25">
        <v>22</v>
      </c>
      <c r="K25" t="s">
        <v>2153</v>
      </c>
      <c r="O25" t="s">
        <v>2211</v>
      </c>
    </row>
    <row r="26" spans="1:15" x14ac:dyDescent="0.3">
      <c r="A26" t="s">
        <v>2135</v>
      </c>
      <c r="J26">
        <v>23</v>
      </c>
      <c r="K26" t="s">
        <v>2154</v>
      </c>
    </row>
    <row r="27" spans="1:15" x14ac:dyDescent="0.3">
      <c r="A27" t="s">
        <v>2136</v>
      </c>
      <c r="J27">
        <v>24</v>
      </c>
      <c r="K27" t="s">
        <v>2155</v>
      </c>
    </row>
    <row r="28" spans="1:15" x14ac:dyDescent="0.3">
      <c r="A28" t="s">
        <v>2137</v>
      </c>
      <c r="J28">
        <v>25</v>
      </c>
      <c r="K28" t="s">
        <v>2156</v>
      </c>
    </row>
    <row r="29" spans="1:15" x14ac:dyDescent="0.3">
      <c r="A29" t="s">
        <v>2138</v>
      </c>
      <c r="J29">
        <v>26</v>
      </c>
      <c r="K29" t="s">
        <v>2157</v>
      </c>
    </row>
    <row r="30" spans="1:15" x14ac:dyDescent="0.3">
      <c r="A30" t="s">
        <v>2139</v>
      </c>
      <c r="J30">
        <v>27</v>
      </c>
      <c r="K30" t="s">
        <v>2158</v>
      </c>
    </row>
    <row r="31" spans="1:15" x14ac:dyDescent="0.3">
      <c r="A31" t="s">
        <v>2140</v>
      </c>
      <c r="J31">
        <v>28</v>
      </c>
      <c r="K31" t="s">
        <v>2189</v>
      </c>
    </row>
    <row r="32" spans="1:15" x14ac:dyDescent="0.3">
      <c r="A32" t="s">
        <v>2141</v>
      </c>
      <c r="J32">
        <v>29</v>
      </c>
      <c r="K32" t="s">
        <v>2190</v>
      </c>
    </row>
    <row r="33" spans="1:11" x14ac:dyDescent="0.3">
      <c r="A33" t="s">
        <v>2142</v>
      </c>
      <c r="J33">
        <v>30</v>
      </c>
      <c r="K33" t="s">
        <v>2191</v>
      </c>
    </row>
    <row r="34" spans="1:11" x14ac:dyDescent="0.3">
      <c r="A34" t="s">
        <v>2143</v>
      </c>
      <c r="J34">
        <v>31</v>
      </c>
      <c r="K34" t="s">
        <v>2192</v>
      </c>
    </row>
    <row r="35" spans="1:11" x14ac:dyDescent="0.3">
      <c r="A35" t="s">
        <v>2144</v>
      </c>
      <c r="J35">
        <v>32</v>
      </c>
      <c r="K35" t="s">
        <v>2193</v>
      </c>
    </row>
    <row r="36" spans="1:11" x14ac:dyDescent="0.3">
      <c r="A36" t="s">
        <v>2145</v>
      </c>
      <c r="J36">
        <v>33</v>
      </c>
      <c r="K36" t="s">
        <v>2194</v>
      </c>
    </row>
    <row r="37" spans="1:11" x14ac:dyDescent="0.3">
      <c r="A37" t="s">
        <v>2146</v>
      </c>
      <c r="J37">
        <v>34</v>
      </c>
      <c r="K37" t="s">
        <v>2195</v>
      </c>
    </row>
    <row r="38" spans="1:11" x14ac:dyDescent="0.3">
      <c r="A38" t="s">
        <v>2147</v>
      </c>
      <c r="J38">
        <v>35</v>
      </c>
      <c r="K38" t="s">
        <v>2196</v>
      </c>
    </row>
    <row r="39" spans="1:11" x14ac:dyDescent="0.3">
      <c r="A39" t="s">
        <v>2148</v>
      </c>
      <c r="J39">
        <v>36</v>
      </c>
      <c r="K39" t="s">
        <v>2197</v>
      </c>
    </row>
    <row r="40" spans="1:11" x14ac:dyDescent="0.3">
      <c r="A40" t="s">
        <v>2149</v>
      </c>
      <c r="J40">
        <v>37</v>
      </c>
      <c r="K40" t="s">
        <v>2198</v>
      </c>
    </row>
    <row r="44" spans="1:11" x14ac:dyDescent="0.3">
      <c r="B44" t="s">
        <v>2248</v>
      </c>
    </row>
    <row r="46" spans="1:11" x14ac:dyDescent="0.3">
      <c r="A46" t="s">
        <v>2212</v>
      </c>
      <c r="I46">
        <v>1</v>
      </c>
    </row>
    <row r="47" spans="1:11" x14ac:dyDescent="0.3">
      <c r="A47" t="s">
        <v>2213</v>
      </c>
      <c r="I47">
        <v>2</v>
      </c>
    </row>
    <row r="48" spans="1:11" x14ac:dyDescent="0.3">
      <c r="A48" t="s">
        <v>2214</v>
      </c>
      <c r="I48">
        <v>3</v>
      </c>
    </row>
    <row r="49" spans="1:9" x14ac:dyDescent="0.3">
      <c r="A49" t="s">
        <v>2215</v>
      </c>
      <c r="I49">
        <v>4</v>
      </c>
    </row>
    <row r="50" spans="1:9" x14ac:dyDescent="0.3">
      <c r="A50" t="s">
        <v>2216</v>
      </c>
      <c r="I50">
        <v>5</v>
      </c>
    </row>
    <row r="51" spans="1:9" x14ac:dyDescent="0.3">
      <c r="A51" t="s">
        <v>2217</v>
      </c>
      <c r="I51">
        <v>6</v>
      </c>
    </row>
    <row r="52" spans="1:9" x14ac:dyDescent="0.3">
      <c r="A52" t="s">
        <v>2218</v>
      </c>
      <c r="I52">
        <v>7</v>
      </c>
    </row>
    <row r="53" spans="1:9" x14ac:dyDescent="0.3">
      <c r="A53" t="s">
        <v>2219</v>
      </c>
      <c r="I53">
        <v>8</v>
      </c>
    </row>
    <row r="54" spans="1:9" x14ac:dyDescent="0.3">
      <c r="A54" t="s">
        <v>2220</v>
      </c>
      <c r="I54">
        <v>9</v>
      </c>
    </row>
    <row r="55" spans="1:9" x14ac:dyDescent="0.3">
      <c r="A55" t="s">
        <v>2221</v>
      </c>
      <c r="I55">
        <v>10</v>
      </c>
    </row>
    <row r="56" spans="1:9" x14ac:dyDescent="0.3">
      <c r="A56" t="s">
        <v>2222</v>
      </c>
      <c r="I56">
        <v>11</v>
      </c>
    </row>
    <row r="57" spans="1:9" x14ac:dyDescent="0.3">
      <c r="A57" t="s">
        <v>2223</v>
      </c>
      <c r="I57">
        <v>12</v>
      </c>
    </row>
    <row r="58" spans="1:9" x14ac:dyDescent="0.3">
      <c r="A58" t="s">
        <v>2224</v>
      </c>
      <c r="I58">
        <v>13</v>
      </c>
    </row>
    <row r="59" spans="1:9" x14ac:dyDescent="0.3">
      <c r="A59" t="s">
        <v>2225</v>
      </c>
      <c r="I59">
        <v>14</v>
      </c>
    </row>
    <row r="60" spans="1:9" x14ac:dyDescent="0.3">
      <c r="A60" t="s">
        <v>2226</v>
      </c>
      <c r="I60">
        <v>15</v>
      </c>
    </row>
    <row r="61" spans="1:9" x14ac:dyDescent="0.3">
      <c r="A61" t="s">
        <v>2227</v>
      </c>
      <c r="I61">
        <v>16</v>
      </c>
    </row>
    <row r="62" spans="1:9" x14ac:dyDescent="0.3">
      <c r="A62" t="s">
        <v>2228</v>
      </c>
      <c r="I62">
        <v>17</v>
      </c>
    </row>
    <row r="63" spans="1:9" x14ac:dyDescent="0.3">
      <c r="A63" t="s">
        <v>2203</v>
      </c>
    </row>
    <row r="64" spans="1:9" x14ac:dyDescent="0.3">
      <c r="A64" t="s">
        <v>2229</v>
      </c>
      <c r="H64" t="s">
        <v>2249</v>
      </c>
    </row>
    <row r="65" spans="1:1" x14ac:dyDescent="0.3">
      <c r="A65" t="s">
        <v>2230</v>
      </c>
    </row>
    <row r="66" spans="1:1" x14ac:dyDescent="0.3">
      <c r="A66" t="s">
        <v>2231</v>
      </c>
    </row>
    <row r="67" spans="1:1" x14ac:dyDescent="0.3">
      <c r="A67" t="s">
        <v>2232</v>
      </c>
    </row>
    <row r="68" spans="1:1" x14ac:dyDescent="0.3">
      <c r="A68" t="s">
        <v>2233</v>
      </c>
    </row>
    <row r="69" spans="1:1" x14ac:dyDescent="0.3">
      <c r="A69" t="s">
        <v>2234</v>
      </c>
    </row>
    <row r="70" spans="1:1" x14ac:dyDescent="0.3">
      <c r="A70" t="s">
        <v>2235</v>
      </c>
    </row>
    <row r="71" spans="1:1" x14ac:dyDescent="0.3">
      <c r="A71" t="s">
        <v>2236</v>
      </c>
    </row>
    <row r="72" spans="1:1" x14ac:dyDescent="0.3">
      <c r="A72" t="s">
        <v>2237</v>
      </c>
    </row>
    <row r="73" spans="1:1" x14ac:dyDescent="0.3">
      <c r="A73" t="s">
        <v>2238</v>
      </c>
    </row>
    <row r="74" spans="1:1" x14ac:dyDescent="0.3">
      <c r="A74" t="s">
        <v>2239</v>
      </c>
    </row>
    <row r="75" spans="1:1" x14ac:dyDescent="0.3">
      <c r="A75" t="s">
        <v>2240</v>
      </c>
    </row>
    <row r="76" spans="1:1" x14ac:dyDescent="0.3">
      <c r="A76" t="s">
        <v>2241</v>
      </c>
    </row>
    <row r="77" spans="1:1" x14ac:dyDescent="0.3">
      <c r="A77" t="s">
        <v>2242</v>
      </c>
    </row>
    <row r="78" spans="1:1" x14ac:dyDescent="0.3">
      <c r="A78" t="s">
        <v>2243</v>
      </c>
    </row>
    <row r="79" spans="1:1" x14ac:dyDescent="0.3">
      <c r="A79" t="s">
        <v>2244</v>
      </c>
    </row>
    <row r="80" spans="1:1" x14ac:dyDescent="0.3">
      <c r="A80" t="s">
        <v>2245</v>
      </c>
    </row>
    <row r="81" spans="1:1" x14ac:dyDescent="0.3">
      <c r="A81" t="s">
        <v>2246</v>
      </c>
    </row>
    <row r="82" spans="1:1" x14ac:dyDescent="0.3">
      <c r="A82" t="s">
        <v>2247</v>
      </c>
    </row>
    <row r="85" spans="1:1" x14ac:dyDescent="0.3">
      <c r="A85" t="s">
        <v>2250</v>
      </c>
    </row>
    <row r="86" spans="1:1" x14ac:dyDescent="0.3">
      <c r="A86" t="s">
        <v>2251</v>
      </c>
    </row>
    <row r="87" spans="1:1" x14ac:dyDescent="0.3">
      <c r="A87" t="s">
        <v>2252</v>
      </c>
    </row>
    <row r="88" spans="1:1" x14ac:dyDescent="0.3">
      <c r="A88" t="s">
        <v>2253</v>
      </c>
    </row>
    <row r="89" spans="1:1" x14ac:dyDescent="0.3">
      <c r="A89" t="s">
        <v>2254</v>
      </c>
    </row>
    <row r="90" spans="1:1" x14ac:dyDescent="0.3">
      <c r="A90" t="s">
        <v>2255</v>
      </c>
    </row>
    <row r="91" spans="1:1" x14ac:dyDescent="0.3">
      <c r="A91" t="s">
        <v>2256</v>
      </c>
    </row>
    <row r="92" spans="1:1" x14ac:dyDescent="0.3">
      <c r="A92" t="s">
        <v>2257</v>
      </c>
    </row>
    <row r="93" spans="1:1" x14ac:dyDescent="0.3">
      <c r="A93" t="s">
        <v>2258</v>
      </c>
    </row>
    <row r="94" spans="1:1" x14ac:dyDescent="0.3">
      <c r="A94" t="s">
        <v>2259</v>
      </c>
    </row>
    <row r="95" spans="1:1" x14ac:dyDescent="0.3">
      <c r="A95" t="s">
        <v>2260</v>
      </c>
    </row>
    <row r="96" spans="1:1" x14ac:dyDescent="0.3">
      <c r="A96" t="s">
        <v>2261</v>
      </c>
    </row>
    <row r="97" spans="1:1" x14ac:dyDescent="0.3">
      <c r="A97" t="s">
        <v>2257</v>
      </c>
    </row>
    <row r="98" spans="1:1" x14ac:dyDescent="0.3">
      <c r="A98" t="s">
        <v>2262</v>
      </c>
    </row>
    <row r="99" spans="1:1" x14ac:dyDescent="0.3">
      <c r="A99" t="s">
        <v>2263</v>
      </c>
    </row>
    <row r="100" spans="1:1" x14ac:dyDescent="0.3">
      <c r="A100" t="s">
        <v>2257</v>
      </c>
    </row>
    <row r="101" spans="1:1" x14ac:dyDescent="0.3">
      <c r="A101" t="s">
        <v>2264</v>
      </c>
    </row>
    <row r="102" spans="1:1" x14ac:dyDescent="0.3">
      <c r="A102" t="s">
        <v>2265</v>
      </c>
    </row>
    <row r="103" spans="1:1" x14ac:dyDescent="0.3">
      <c r="A103" t="s">
        <v>2266</v>
      </c>
    </row>
    <row r="104" spans="1:1" x14ac:dyDescent="0.3">
      <c r="A104" t="s">
        <v>2267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9"/>
  <sheetViews>
    <sheetView workbookViewId="0">
      <selection activeCell="I7" sqref="I7"/>
    </sheetView>
  </sheetViews>
  <sheetFormatPr defaultRowHeight="14.4" x14ac:dyDescent="0.3"/>
  <cols>
    <col min="9" max="9" width="11.5546875" bestFit="1" customWidth="1"/>
  </cols>
  <sheetData>
    <row r="1" spans="1:17" x14ac:dyDescent="0.3">
      <c r="A1" s="8" t="s">
        <v>1276</v>
      </c>
      <c r="B1" s="8"/>
      <c r="C1" s="8"/>
      <c r="D1" s="8"/>
      <c r="E1" s="8"/>
      <c r="F1" s="8"/>
      <c r="H1" t="s">
        <v>1673</v>
      </c>
    </row>
    <row r="2" spans="1:17" x14ac:dyDescent="0.3">
      <c r="A2" s="8" t="s">
        <v>1280</v>
      </c>
      <c r="B2" s="8"/>
      <c r="C2" s="8"/>
      <c r="D2" s="8"/>
      <c r="E2" s="8"/>
      <c r="F2" s="8"/>
      <c r="H2" s="66" t="s">
        <v>1672</v>
      </c>
      <c r="M2" s="62" t="s">
        <v>571</v>
      </c>
      <c r="N2" s="21" t="s">
        <v>568</v>
      </c>
      <c r="O2" s="21" t="s">
        <v>1099</v>
      </c>
      <c r="P2" s="21" t="s">
        <v>1100</v>
      </c>
      <c r="Q2" s="21" t="s">
        <v>1273</v>
      </c>
    </row>
    <row r="3" spans="1:17" x14ac:dyDescent="0.3">
      <c r="A3" s="8" t="s">
        <v>1277</v>
      </c>
      <c r="B3" s="8" t="s">
        <v>60</v>
      </c>
      <c r="C3" s="8" t="s">
        <v>61</v>
      </c>
      <c r="D3" s="8" t="s">
        <v>62</v>
      </c>
      <c r="E3" s="8" t="s">
        <v>1278</v>
      </c>
      <c r="F3" s="8" t="s">
        <v>1279</v>
      </c>
      <c r="M3" s="11">
        <v>1</v>
      </c>
      <c r="N3" s="13" t="s">
        <v>1106</v>
      </c>
      <c r="O3" s="6" t="s">
        <v>2422</v>
      </c>
      <c r="P3" s="6" t="s">
        <v>17</v>
      </c>
      <c r="Q3" s="6" t="s">
        <v>17</v>
      </c>
    </row>
    <row r="4" spans="1:17" x14ac:dyDescent="0.3">
      <c r="A4" s="8">
        <v>1</v>
      </c>
      <c r="B4" s="8">
        <v>14</v>
      </c>
      <c r="C4" s="8">
        <v>0.6</v>
      </c>
      <c r="D4" s="8">
        <v>2</v>
      </c>
      <c r="E4" s="8">
        <v>1</v>
      </c>
      <c r="F4" s="8">
        <v>1</v>
      </c>
      <c r="I4" t="s">
        <v>1283</v>
      </c>
      <c r="M4" s="11">
        <v>2</v>
      </c>
      <c r="N4" s="13" t="s">
        <v>2420</v>
      </c>
      <c r="O4" s="6" t="s">
        <v>2421</v>
      </c>
      <c r="P4" s="6" t="s">
        <v>2</v>
      </c>
      <c r="Q4" s="6" t="s">
        <v>17</v>
      </c>
    </row>
    <row r="5" spans="1:17" x14ac:dyDescent="0.3">
      <c r="A5" s="8">
        <v>100</v>
      </c>
      <c r="B5" s="8">
        <v>15</v>
      </c>
      <c r="C5" s="8">
        <v>0.5</v>
      </c>
      <c r="D5" s="8">
        <v>1</v>
      </c>
      <c r="E5" s="8">
        <v>1</v>
      </c>
      <c r="F5" s="8">
        <v>1</v>
      </c>
      <c r="I5" t="s">
        <v>1284</v>
      </c>
      <c r="M5" s="11">
        <v>3</v>
      </c>
      <c r="N5" s="13" t="s">
        <v>1581</v>
      </c>
      <c r="O5" s="64" t="s">
        <v>2427</v>
      </c>
      <c r="P5" s="65" t="s">
        <v>2</v>
      </c>
      <c r="Q5" s="6" t="s">
        <v>17</v>
      </c>
    </row>
    <row r="6" spans="1:17" x14ac:dyDescent="0.3">
      <c r="A6" s="8">
        <v>250</v>
      </c>
      <c r="B6" s="8">
        <v>13</v>
      </c>
      <c r="C6" s="8">
        <v>0.4</v>
      </c>
      <c r="D6" s="8">
        <v>1</v>
      </c>
      <c r="E6" s="8">
        <v>1</v>
      </c>
      <c r="F6" s="8">
        <v>1</v>
      </c>
      <c r="M6" s="11">
        <v>4</v>
      </c>
      <c r="N6" s="13" t="s">
        <v>1582</v>
      </c>
      <c r="O6" s="64" t="s">
        <v>2428</v>
      </c>
      <c r="P6" s="6" t="s">
        <v>17</v>
      </c>
      <c r="Q6" s="6" t="s">
        <v>17</v>
      </c>
    </row>
    <row r="7" spans="1:17" x14ac:dyDescent="0.3">
      <c r="A7" s="8">
        <v>365</v>
      </c>
      <c r="B7" s="8">
        <v>12</v>
      </c>
      <c r="C7" s="8">
        <v>0.6</v>
      </c>
      <c r="D7" s="8">
        <v>1</v>
      </c>
      <c r="E7" s="8">
        <v>1</v>
      </c>
      <c r="F7" s="8">
        <v>1</v>
      </c>
      <c r="I7" s="39">
        <f>1000/(365*86400*1000*1000)</f>
        <v>3.1709791983764586E-11</v>
      </c>
      <c r="M7" s="11">
        <v>5</v>
      </c>
      <c r="N7" s="13" t="s">
        <v>1583</v>
      </c>
      <c r="O7" s="6" t="s">
        <v>2429</v>
      </c>
      <c r="P7" s="6" t="s">
        <v>17</v>
      </c>
      <c r="Q7" s="6" t="s">
        <v>17</v>
      </c>
    </row>
    <row r="8" spans="1:17" x14ac:dyDescent="0.3">
      <c r="A8" s="8">
        <v>400</v>
      </c>
      <c r="B8" s="8">
        <v>11</v>
      </c>
      <c r="C8" s="8">
        <v>0.4</v>
      </c>
      <c r="D8" s="8">
        <v>2</v>
      </c>
      <c r="E8" s="8">
        <v>1</v>
      </c>
      <c r="F8" s="8">
        <v>1</v>
      </c>
      <c r="M8" s="11">
        <v>6</v>
      </c>
      <c r="N8" s="13" t="s">
        <v>1585</v>
      </c>
      <c r="O8" s="6" t="s">
        <v>2430</v>
      </c>
      <c r="P8" s="6" t="s">
        <v>17</v>
      </c>
      <c r="Q8" s="6" t="s">
        <v>17</v>
      </c>
    </row>
    <row r="9" spans="1:17" x14ac:dyDescent="0.3">
      <c r="M9" s="11">
        <v>7</v>
      </c>
      <c r="N9" s="13" t="s">
        <v>1558</v>
      </c>
      <c r="O9" s="6" t="s">
        <v>2431</v>
      </c>
      <c r="P9" s="6" t="s">
        <v>17</v>
      </c>
      <c r="Q9" s="6" t="s">
        <v>17</v>
      </c>
    </row>
    <row r="10" spans="1:17" x14ac:dyDescent="0.3">
      <c r="M10" s="11">
        <v>8</v>
      </c>
      <c r="N10" s="13" t="s">
        <v>1559</v>
      </c>
      <c r="O10" s="6" t="s">
        <v>2432</v>
      </c>
      <c r="P10" s="6" t="s">
        <v>17</v>
      </c>
      <c r="Q10" s="6" t="s">
        <v>17</v>
      </c>
    </row>
    <row r="11" spans="1:17" x14ac:dyDescent="0.3">
      <c r="M11" s="11">
        <v>9</v>
      </c>
      <c r="N11" s="13" t="s">
        <v>1589</v>
      </c>
      <c r="O11" s="6" t="s">
        <v>2433</v>
      </c>
      <c r="P11" s="6" t="s">
        <v>17</v>
      </c>
      <c r="Q11" s="6" t="s">
        <v>17</v>
      </c>
    </row>
    <row r="12" spans="1:17" x14ac:dyDescent="0.3">
      <c r="M12" s="11">
        <v>10</v>
      </c>
      <c r="N12" s="13" t="s">
        <v>1591</v>
      </c>
      <c r="O12" s="6" t="s">
        <v>2434</v>
      </c>
      <c r="P12" s="6" t="s">
        <v>17</v>
      </c>
      <c r="Q12" s="6" t="s">
        <v>17</v>
      </c>
    </row>
    <row r="13" spans="1:17" x14ac:dyDescent="0.3">
      <c r="M13" s="11">
        <v>11</v>
      </c>
      <c r="N13" s="13" t="s">
        <v>1593</v>
      </c>
      <c r="O13" s="6" t="s">
        <v>2435</v>
      </c>
      <c r="P13" s="6" t="s">
        <v>17</v>
      </c>
      <c r="Q13" s="6" t="s">
        <v>17</v>
      </c>
    </row>
    <row r="14" spans="1:17" x14ac:dyDescent="0.3">
      <c r="M14" s="11">
        <v>12</v>
      </c>
      <c r="N14" s="13" t="s">
        <v>1595</v>
      </c>
      <c r="O14" s="6" t="s">
        <v>2436</v>
      </c>
      <c r="P14" s="6" t="s">
        <v>17</v>
      </c>
      <c r="Q14" s="6" t="s">
        <v>17</v>
      </c>
    </row>
    <row r="15" spans="1:17" x14ac:dyDescent="0.3">
      <c r="M15" s="11">
        <v>13</v>
      </c>
      <c r="N15" s="13" t="s">
        <v>1597</v>
      </c>
      <c r="O15" s="6" t="s">
        <v>2437</v>
      </c>
      <c r="P15" s="6" t="s">
        <v>17</v>
      </c>
      <c r="Q15" s="6" t="s">
        <v>17</v>
      </c>
    </row>
    <row r="16" spans="1:17" x14ac:dyDescent="0.3">
      <c r="M16" s="11">
        <v>14</v>
      </c>
      <c r="N16" s="13" t="s">
        <v>60</v>
      </c>
      <c r="O16" s="6" t="s">
        <v>2438</v>
      </c>
      <c r="P16" s="6" t="s">
        <v>17</v>
      </c>
      <c r="Q16" s="6" t="s">
        <v>17</v>
      </c>
    </row>
    <row r="17" spans="13:17" x14ac:dyDescent="0.3">
      <c r="M17" s="11">
        <v>15</v>
      </c>
      <c r="N17" s="13" t="s">
        <v>61</v>
      </c>
      <c r="O17" s="6" t="s">
        <v>2439</v>
      </c>
      <c r="P17" s="6" t="s">
        <v>17</v>
      </c>
      <c r="Q17" s="6" t="s">
        <v>17</v>
      </c>
    </row>
    <row r="18" spans="13:17" x14ac:dyDescent="0.3">
      <c r="M18" s="11">
        <v>16</v>
      </c>
      <c r="N18" s="13" t="s">
        <v>62</v>
      </c>
      <c r="O18" s="6" t="s">
        <v>2440</v>
      </c>
      <c r="P18" s="6" t="s">
        <v>17</v>
      </c>
      <c r="Q18" s="6" t="s">
        <v>17</v>
      </c>
    </row>
    <row r="19" spans="13:17" x14ac:dyDescent="0.3">
      <c r="M19" s="11">
        <v>17</v>
      </c>
      <c r="N19" s="13" t="s">
        <v>63</v>
      </c>
      <c r="O19" s="6" t="s">
        <v>2441</v>
      </c>
      <c r="P19" s="6" t="s">
        <v>17</v>
      </c>
      <c r="Q19" s="6" t="s">
        <v>17</v>
      </c>
    </row>
    <row r="20" spans="13:17" x14ac:dyDescent="0.3">
      <c r="M20" s="11">
        <v>18</v>
      </c>
      <c r="N20" s="13" t="s">
        <v>64</v>
      </c>
      <c r="O20" s="6" t="s">
        <v>2442</v>
      </c>
      <c r="P20" s="6" t="s">
        <v>17</v>
      </c>
      <c r="Q20" s="6" t="s">
        <v>17</v>
      </c>
    </row>
    <row r="21" spans="13:17" x14ac:dyDescent="0.3">
      <c r="M21" s="11">
        <v>19</v>
      </c>
      <c r="N21" s="13" t="s">
        <v>65</v>
      </c>
      <c r="O21" s="6" t="s">
        <v>2443</v>
      </c>
      <c r="P21" s="6" t="s">
        <v>17</v>
      </c>
      <c r="Q21" s="6" t="s">
        <v>17</v>
      </c>
    </row>
    <row r="22" spans="13:17" x14ac:dyDescent="0.3">
      <c r="M22" s="11">
        <v>20</v>
      </c>
      <c r="N22" s="13" t="s">
        <v>66</v>
      </c>
      <c r="O22" s="6" t="s">
        <v>2444</v>
      </c>
      <c r="P22" s="6" t="s">
        <v>17</v>
      </c>
      <c r="Q22" s="6" t="s">
        <v>17</v>
      </c>
    </row>
    <row r="23" spans="13:17" x14ac:dyDescent="0.3">
      <c r="M23" s="11">
        <v>21</v>
      </c>
      <c r="N23" s="13" t="s">
        <v>67</v>
      </c>
      <c r="O23" s="6" t="s">
        <v>2445</v>
      </c>
      <c r="P23" s="6" t="s">
        <v>17</v>
      </c>
      <c r="Q23" s="6" t="s">
        <v>17</v>
      </c>
    </row>
    <row r="24" spans="13:17" x14ac:dyDescent="0.3">
      <c r="M24" s="11">
        <v>22</v>
      </c>
      <c r="N24" s="13" t="s">
        <v>68</v>
      </c>
      <c r="O24" s="6" t="s">
        <v>2446</v>
      </c>
      <c r="P24" s="6" t="s">
        <v>17</v>
      </c>
      <c r="Q24" s="6" t="s">
        <v>17</v>
      </c>
    </row>
    <row r="25" spans="13:17" x14ac:dyDescent="0.3">
      <c r="M25" s="11">
        <v>23</v>
      </c>
      <c r="N25" s="13" t="s">
        <v>86</v>
      </c>
      <c r="O25" s="6" t="s">
        <v>2447</v>
      </c>
      <c r="P25" s="6" t="s">
        <v>17</v>
      </c>
      <c r="Q25" s="6" t="s">
        <v>17</v>
      </c>
    </row>
    <row r="26" spans="13:17" x14ac:dyDescent="0.3">
      <c r="M26" s="11">
        <v>24</v>
      </c>
      <c r="N26" s="13" t="s">
        <v>87</v>
      </c>
      <c r="O26" s="6" t="s">
        <v>2448</v>
      </c>
      <c r="P26" s="6" t="s">
        <v>17</v>
      </c>
      <c r="Q26" s="6" t="s">
        <v>17</v>
      </c>
    </row>
    <row r="27" spans="13:17" x14ac:dyDescent="0.3">
      <c r="M27" s="11">
        <v>25</v>
      </c>
      <c r="N27" s="13" t="s">
        <v>88</v>
      </c>
      <c r="O27" s="6" t="s">
        <v>2449</v>
      </c>
      <c r="P27" s="6" t="s">
        <v>17</v>
      </c>
      <c r="Q27" s="6" t="s">
        <v>17</v>
      </c>
    </row>
    <row r="28" spans="13:17" x14ac:dyDescent="0.3">
      <c r="M28" s="11">
        <v>26</v>
      </c>
      <c r="N28" s="13" t="s">
        <v>90</v>
      </c>
      <c r="O28" s="6" t="s">
        <v>2450</v>
      </c>
      <c r="P28" s="6" t="s">
        <v>17</v>
      </c>
      <c r="Q28" s="6" t="s">
        <v>17</v>
      </c>
    </row>
    <row r="29" spans="13:17" x14ac:dyDescent="0.3">
      <c r="M29" s="11">
        <v>27</v>
      </c>
      <c r="N29" s="13" t="s">
        <v>91</v>
      </c>
      <c r="O29" s="6" t="s">
        <v>2451</v>
      </c>
      <c r="P29" s="6" t="s">
        <v>17</v>
      </c>
      <c r="Q29" s="6" t="s">
        <v>17</v>
      </c>
    </row>
    <row r="30" spans="13:17" x14ac:dyDescent="0.3">
      <c r="M30" s="11">
        <v>28</v>
      </c>
      <c r="N30" s="13" t="s">
        <v>92</v>
      </c>
      <c r="O30" s="6" t="s">
        <v>2452</v>
      </c>
      <c r="P30" s="6" t="s">
        <v>17</v>
      </c>
      <c r="Q30" s="6" t="s">
        <v>17</v>
      </c>
    </row>
    <row r="31" spans="13:17" x14ac:dyDescent="0.3">
      <c r="M31" s="11">
        <v>29</v>
      </c>
      <c r="N31" s="13" t="s">
        <v>93</v>
      </c>
      <c r="O31" s="6" t="s">
        <v>2453</v>
      </c>
      <c r="P31" s="6" t="s">
        <v>17</v>
      </c>
      <c r="Q31" s="6" t="s">
        <v>17</v>
      </c>
    </row>
    <row r="32" spans="13:17" x14ac:dyDescent="0.3">
      <c r="M32" s="11">
        <v>30</v>
      </c>
      <c r="N32" s="13" t="s">
        <v>94</v>
      </c>
      <c r="O32" s="6" t="s">
        <v>2454</v>
      </c>
      <c r="P32" s="6" t="s">
        <v>17</v>
      </c>
      <c r="Q32" s="6" t="s">
        <v>17</v>
      </c>
    </row>
    <row r="33" spans="13:17" x14ac:dyDescent="0.3">
      <c r="M33" s="11">
        <v>31</v>
      </c>
      <c r="N33" s="13" t="s">
        <v>95</v>
      </c>
      <c r="O33" s="6" t="s">
        <v>2455</v>
      </c>
      <c r="P33" s="6" t="s">
        <v>17</v>
      </c>
      <c r="Q33" s="6" t="s">
        <v>17</v>
      </c>
    </row>
    <row r="34" spans="13:17" x14ac:dyDescent="0.3">
      <c r="M34" s="11">
        <v>32</v>
      </c>
      <c r="N34" s="13" t="s">
        <v>96</v>
      </c>
      <c r="O34" s="6" t="s">
        <v>2456</v>
      </c>
      <c r="P34" s="6" t="s">
        <v>17</v>
      </c>
      <c r="Q34" s="6" t="s">
        <v>17</v>
      </c>
    </row>
    <row r="35" spans="13:17" x14ac:dyDescent="0.3">
      <c r="M35" s="11">
        <v>33</v>
      </c>
      <c r="N35" s="13" t="s">
        <v>97</v>
      </c>
      <c r="O35" s="6" t="s">
        <v>2457</v>
      </c>
      <c r="P35" s="6" t="s">
        <v>17</v>
      </c>
      <c r="Q35" s="6" t="s">
        <v>17</v>
      </c>
    </row>
    <row r="36" spans="13:17" x14ac:dyDescent="0.3">
      <c r="M36" s="11">
        <v>34</v>
      </c>
      <c r="N36" s="13" t="s">
        <v>2423</v>
      </c>
      <c r="O36" s="6" t="s">
        <v>2600</v>
      </c>
      <c r="P36" s="6" t="s">
        <v>17</v>
      </c>
      <c r="Q36" s="6" t="s">
        <v>17</v>
      </c>
    </row>
    <row r="37" spans="13:17" x14ac:dyDescent="0.3">
      <c r="M37" s="11">
        <v>35</v>
      </c>
      <c r="N37" s="13" t="s">
        <v>2424</v>
      </c>
      <c r="O37" s="6" t="s">
        <v>2601</v>
      </c>
      <c r="P37" s="6" t="s">
        <v>17</v>
      </c>
      <c r="Q37" s="6" t="s">
        <v>17</v>
      </c>
    </row>
    <row r="38" spans="13:17" x14ac:dyDescent="0.3">
      <c r="M38" s="11">
        <v>36</v>
      </c>
      <c r="N38" s="13" t="s">
        <v>2425</v>
      </c>
      <c r="O38" s="6" t="s">
        <v>2602</v>
      </c>
      <c r="P38" s="6" t="s">
        <v>17</v>
      </c>
      <c r="Q38" s="6" t="s">
        <v>17</v>
      </c>
    </row>
    <row r="39" spans="13:17" x14ac:dyDescent="0.3">
      <c r="M39" s="11">
        <v>37</v>
      </c>
      <c r="N39" s="13" t="s">
        <v>2426</v>
      </c>
      <c r="O39" s="6" t="s">
        <v>2603</v>
      </c>
      <c r="P39" s="6" t="s">
        <v>17</v>
      </c>
      <c r="Q39" s="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Index of Sheets</vt:lpstr>
      <vt:lpstr>w2_con.csv</vt:lpstr>
      <vt:lpstr>Required Constituent Order</vt:lpstr>
      <vt:lpstr>w2_habitat.npt</vt:lpstr>
      <vt:lpstr>w2_diagenesis.npt</vt:lpstr>
      <vt:lpstr>w2_aerate.npt</vt:lpstr>
      <vt:lpstr>w2_envirprf.npt</vt:lpstr>
      <vt:lpstr>USGS w2_selective.npt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2024-03-26T01:38:58Z</dcterms:modified>
</cp:coreProperties>
</file>